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BB_Analysis\"/>
    </mc:Choice>
  </mc:AlternateContent>
  <xr:revisionPtr revIDLastSave="0" documentId="13_ncr:1_{2F0DE198-33F3-4D0B-AA14-3C7F2CFDE5F6}" xr6:coauthVersionLast="47" xr6:coauthVersionMax="47" xr10:uidLastSave="{00000000-0000-0000-0000-000000000000}"/>
  <bookViews>
    <workbookView xWindow="-98" yWindow="-98" windowWidth="21795" windowHeight="12975" activeTab="2" xr2:uid="{00000000-000D-0000-FFFF-FFFF00000000}"/>
  </bookViews>
  <sheets>
    <sheet name="Data" sheetId="1" r:id="rId1"/>
    <sheet name="Calculation" sheetId="2" r:id="rId2"/>
    <sheet name="Dashboard" sheetId="4" r:id="rId3"/>
  </sheets>
  <definedNames>
    <definedName name="Slicer_Month">#N/A</definedName>
    <definedName name="Slicer_Weekday">#N/A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<sst xmlns="http://schemas.openxmlformats.org/spreadsheetml/2006/main" count="354" uniqueCount="36">
  <si>
    <t>Date</t>
  </si>
  <si>
    <t>Day</t>
  </si>
  <si>
    <t>Month</t>
  </si>
  <si>
    <t>Year</t>
  </si>
  <si>
    <t>Week No</t>
  </si>
  <si>
    <t>Weekday</t>
  </si>
  <si>
    <t># Bill</t>
  </si>
  <si>
    <t>Unit</t>
  </si>
  <si>
    <t>APT</t>
  </si>
  <si>
    <t>UPT</t>
  </si>
  <si>
    <t>Traffic</t>
  </si>
  <si>
    <t>Conversion Rate</t>
  </si>
  <si>
    <t>Revenue</t>
  </si>
  <si>
    <t>Target by Day</t>
  </si>
  <si>
    <t>january</t>
  </si>
  <si>
    <t>monday</t>
  </si>
  <si>
    <t>tuesday</t>
  </si>
  <si>
    <t>wednesday</t>
  </si>
  <si>
    <t>thursday</t>
  </si>
  <si>
    <t>friday</t>
  </si>
  <si>
    <t>saturday</t>
  </si>
  <si>
    <t>sunday</t>
  </si>
  <si>
    <t>february</t>
  </si>
  <si>
    <t>march</t>
  </si>
  <si>
    <t>april</t>
  </si>
  <si>
    <t>may</t>
  </si>
  <si>
    <t>Row Labels</t>
  </si>
  <si>
    <t>Grand Total</t>
  </si>
  <si>
    <t>Sum of Revenue</t>
  </si>
  <si>
    <t>Average of APT</t>
  </si>
  <si>
    <t>Average of UPT</t>
  </si>
  <si>
    <t>Average of Conversion Rate</t>
  </si>
  <si>
    <t>Sum of Unit</t>
  </si>
  <si>
    <t>Sum of Target by Day</t>
  </si>
  <si>
    <t>Average of Traffic</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</si>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</sst>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0.00\ &quot;₫&quot;_-;\-* #,##0.00\ &quot;₫&quot;_-;_-* &quot;-&quot;??\ &quot;₫&quot;_-;_-@_-"/>
    <numFmt numFmtId="164" formatCode="yyyy\-mm\-dd\ hh:mm:ss"/>
    <numFmt numFmtId="165" formatCode="_-* #,##0\ [$₫-42A]_-;\-* #,##0\ [$₫-42A]_-;_-* &quot;-&quot;??\ [$₫-42A]_-;_-@_-"/>
    <numFmt numFmtId="166" formatCode="_(&quot;$&quot;* #,##0_);_(&quot;$&quot;* \(#,##0\);_(&quot;$&quot;* &quot;-&quot;??_);_(@_)"/>
    <numFmt numFmtId="167" formatCode="_-* #,##0_-;\-* #,##0_-;_-* &quot;-&quot;??_-;_-@_-"/>
    <numFmt numFmtId="168" formatCode="_-* #,##0\ _₫_-;\-* #,##0\ _₫_-;_-* &quot;-&quot;??\ _₫_-;_-@_-"/>
  </numFmts>
  <fonts count="9" x14ac:knownFonts="1">
    <font>
      <sz val="11"/>
      <color theme="1"/>
      <name val="Calibri"/>
      <family val="2"/>
      <scheme val="minor"/>
    </font>
    <font>
      <b/>
      <sz val="11"/>
      <name val="Calibri"/>
    </font>
    <font>
      <sz val="11"/>
      <color theme="1"/>
      <name val="Calibri"/>
      <family val="2"/>
      <scheme val="minor"/>
    </font>
    <font>
      <sz val="12"/>
      <color theme="1"/>
      <name val="Times New Roman"/>
      <family val="1"/>
    </font>
    <font>
      <b/>
      <sz val="14"/>
      <color theme="0"/>
      <name val="Times New Roman"/>
      <family val="1"/>
    </font>
    <font>
      <b/>
      <sz val="12"/>
      <color theme="0"/>
      <name val="Times New Roman"/>
      <family val="1"/>
    </font>
    <font>
      <sz val="10"/>
      <color theme="0"/>
      <name val="Times New Roman"/>
      <family val="1"/>
    </font>
    <font>
      <b/>
      <sz val="10"/>
      <color theme="0"/>
      <name val="Times New Roman"/>
      <family val="1"/>
    </font>
    <font>
      <sz val="10"/>
      <color theme="1"/>
      <name val="Times New Roman"/>
      <family val="1"/>
    </font>
  </fonts>
  <fills count="7">
    <fill>
      <patternFill patternType="none"/>
    </fill>
    <fill>
      <patternFill patternType="gray125"/>
    </fill>
    <fill>
      <patternFill patternType="solid">
        <fgColor rgb="FF28448E"/>
        <bgColor indexed="64"/>
      </patternFill>
    </fill>
    <fill>
      <patternFill patternType="solid">
        <fgColor theme="0" tint="-4.9989318521683403E-2"/>
        <bgColor indexed="64"/>
      </patternFill>
    </fill>
    <fill>
      <patternFill patternType="solid">
        <fgColor rgb="FFDF002C"/>
        <bgColor indexed="64"/>
      </patternFill>
    </fill>
    <fill>
      <patternFill patternType="solid">
        <fgColor theme="0"/>
        <bgColor indexed="64"/>
      </patternFill>
    </fill>
    <fill>
      <patternFill patternType="solid">
        <fgColor rgb="FF0096D7"/>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indexed="64"/>
      </top>
      <bottom style="double">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6">
    <xf numFmtId="0" fontId="0" fillId="0" borderId="0" xfId="0"/>
    <xf numFmtId="0" fontId="1" fillId="0" borderId="1" xfId="0" applyFont="1" applyBorder="1" applyAlignment="1">
      <alignment horizontal="center" vertical="top"/>
    </xf>
    <xf numFmtId="10" fontId="1" fillId="0" borderId="1" xfId="0" applyNumberFormat="1" applyFont="1" applyBorder="1" applyAlignment="1">
      <alignment horizontal="center" vertical="top"/>
    </xf>
    <xf numFmtId="10" fontId="0" fillId="0" borderId="0" xfId="0" applyNumberFormat="1"/>
    <xf numFmtId="165" fontId="1" fillId="0" borderId="1" xfId="0" applyNumberFormat="1" applyFont="1" applyBorder="1" applyAlignment="1">
      <alignment horizontal="center" vertical="top"/>
    </xf>
    <xf numFmtId="165" fontId="0" fillId="0" borderId="0" xfId="0" applyNumberFormat="1"/>
    <xf numFmtId="0" fontId="3" fillId="2" borderId="0" xfId="0" applyFont="1" applyFill="1" applyAlignment="1">
      <alignment vertical="center"/>
    </xf>
    <xf numFmtId="0" fontId="3" fillId="3" borderId="0" xfId="0" applyFont="1" applyFill="1" applyAlignment="1">
      <alignment vertical="center"/>
    </xf>
    <xf numFmtId="0" fontId="4" fillId="2" borderId="0" xfId="0" applyFont="1" applyFill="1" applyAlignment="1" applyProtection="1">
      <alignment horizontal="center"/>
      <protection locked="0"/>
    </xf>
    <xf numFmtId="0" fontId="3" fillId="2" borderId="0" xfId="0" applyFont="1" applyFill="1" applyAlignment="1" applyProtection="1">
      <alignment vertical="center"/>
      <protection locked="0"/>
    </xf>
    <xf numFmtId="0" fontId="4" fillId="4" borderId="0" xfId="0" applyFont="1" applyFill="1" applyAlignment="1">
      <alignment horizontal="left" vertical="center"/>
    </xf>
    <xf numFmtId="0" fontId="3" fillId="4" borderId="0" xfId="0" applyFont="1" applyFill="1" applyAlignment="1">
      <alignment horizontal="left" vertical="center"/>
    </xf>
    <xf numFmtId="0" fontId="3" fillId="0" borderId="0" xfId="0" applyFont="1" applyAlignment="1">
      <alignment vertical="center"/>
    </xf>
    <xf numFmtId="0" fontId="4" fillId="2" borderId="0" xfId="0" applyFont="1" applyFill="1" applyAlignment="1" applyProtection="1">
      <alignment horizontal="center" vertical="center"/>
      <protection locked="0"/>
    </xf>
    <xf numFmtId="0" fontId="3" fillId="5" borderId="0" xfId="0" applyFont="1" applyFill="1" applyAlignment="1">
      <alignment vertical="center"/>
    </xf>
    <xf numFmtId="0" fontId="5" fillId="2" borderId="0" xfId="0" applyFont="1" applyFill="1" applyAlignment="1" applyProtection="1">
      <alignment horizontal="center" vertical="center"/>
      <protection locked="0"/>
    </xf>
    <xf numFmtId="0" fontId="3" fillId="0" borderId="0" xfId="0" applyFont="1" applyAlignment="1">
      <alignment horizontal="left" vertical="center"/>
    </xf>
    <xf numFmtId="0" fontId="5" fillId="2" borderId="0" xfId="0" applyFont="1" applyFill="1" applyAlignment="1">
      <alignment vertical="center"/>
    </xf>
    <xf numFmtId="166" fontId="3" fillId="0" borderId="0" xfId="1" applyNumberFormat="1" applyFont="1" applyAlignment="1">
      <alignment vertical="center"/>
    </xf>
    <xf numFmtId="9" fontId="3" fillId="0" borderId="0" xfId="2" applyFont="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6" fillId="2" borderId="0" xfId="0" applyFont="1" applyFill="1" applyAlignment="1">
      <alignment horizontal="center"/>
    </xf>
    <xf numFmtId="0" fontId="8" fillId="2" borderId="0" xfId="0" applyFont="1" applyFill="1" applyAlignment="1">
      <alignment vertical="center"/>
    </xf>
    <xf numFmtId="0" fontId="5" fillId="6" borderId="2" xfId="0" applyFont="1" applyFill="1" applyBorder="1" applyAlignment="1">
      <alignment vertical="center"/>
    </xf>
    <xf numFmtId="166" fontId="5" fillId="6" borderId="2" xfId="1" applyNumberFormat="1" applyFont="1" applyFill="1" applyBorder="1" applyAlignment="1">
      <alignment vertical="center"/>
    </xf>
    <xf numFmtId="9" fontId="5" fillId="6" borderId="2" xfId="2" applyFont="1" applyFill="1" applyBorder="1" applyAlignment="1">
      <alignment vertical="center"/>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7" fontId="0" fillId="0" borderId="0" xfId="0" applyNumberFormat="1"/>
    <xf numFmtId="9" fontId="0" fillId="0" borderId="0" xfId="0" applyNumberFormat="1"/>
    <xf numFmtId="14" fontId="0" fillId="0" borderId="0" xfId="0" applyNumberFormat="1"/>
    <xf numFmtId="14" fontId="1" fillId="0" borderId="1" xfId="0" applyNumberFormat="1" applyFont="1" applyBorder="1" applyAlignment="1">
      <alignment horizontal="center" vertical="top"/>
    </xf>
    <xf numFmtId="168" fontId="0" fillId="0" borderId="0" xfId="0" applyNumberFormat="1"/>
  </cellXfs>
  <cellStyles count="3">
    <cellStyle name="Currency" xfId="1" builtinId="4"/>
    <cellStyle name="Normal" xfId="0" builtinId="0"/>
    <cellStyle name="Percent" xfId="2" builtinId="5"/>
  </cellStyles>
  <dxfs count="8">
    <dxf>
      <numFmt numFmtId="168" formatCode="_-* #,##0\ _₫_-;\-* #,##0\ _₫_-;_-* &quot;-&quot;??\ _₫_-;_-@_-"/>
    </dxf>
    <dxf>
      <numFmt numFmtId="168" formatCode="_-* #,##0\ _₫_-;\-* #,##0\ _₫_-;_-* &quot;-&quot;??\ _₫_-;_-@_-"/>
    </dxf>
    <dxf>
      <numFmt numFmtId="1" formatCode="0"/>
    </dxf>
    <dxf>
      <numFmt numFmtId="2" formatCode="0.00"/>
    </dxf>
    <dxf>
      <numFmt numFmtId="13" formatCode="0%"/>
    </dxf>
    <dxf>
      <numFmt numFmtId="167" formatCode="_-* #,##0_-;\-* #,##0_-;_-* &quot;-&quot;??_-;_-@_-"/>
    </dxf>
    <dxf>
      <fill>
        <patternFill>
          <bgColor theme="8"/>
        </patternFill>
      </fill>
    </dxf>
    <dxf>
      <fill>
        <patternFill>
          <bgColor theme="3"/>
        </patternFill>
      </fill>
    </dxf>
  </dxfs>
  <tableStyles count="1" defaultTableStyle="TableStyleMedium9" defaultPivotStyle="PivotStyleLight16">
    <tableStyle name="Slicer Style 1" pivot="0" table="0" count="3" xr9:uid="{FCFD8A64-9EFD-4988-BDF7-523F39F8C16A}">
      <tableStyleElement type="wholeTable" dxfId="7"/>
      <tableStyleElement type="headerRow" dxfId="6"/>
    </tableStyle>
  </tableStyles>
  <extLst>
    <ext xmlns:x14="http://schemas.microsoft.com/office/spreadsheetml/2009/9/main" uri="{46F421CA-312F-682f-3DD2-61675219B42D}">
      <x14:dxfs count="1">
        <dxf>
          <fill>
            <patternFill>
              <bgColor theme="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[Daily_Sales.xlsx]Calculation!Rev&amp;Tar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Calculation!$B$6</c:f>
              <c:strCache>
                <c:ptCount val="1"/>
                <c:pt idx="0">
                  <c:v>Sum of Revenue</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3-357E-499C-97EC-E5D94A103534}"/>
              </c:ext>
            </c:extLst>
          </c:dPt>
          <c:dPt>
            <c:idx val="2"/>
            <c:invertIfNegative val="0"/>
            <c:bubble3D val="0"/>
            <c:extLst>
              <c:ext xmlns:c16="http://schemas.microsoft.com/office/drawing/2014/chart" uri="{C3380CC4-5D6E-409C-BE32-E72D297353CC}">
                <c16:uniqueId val="{00000004-357E-499C-97EC-E5D94A103534}"/>
              </c:ext>
            </c:extLst>
          </c:dPt>
          <c:dPt>
            <c:idx val="3"/>
            <c:invertIfNegative val="0"/>
            <c:bubble3D val="0"/>
            <c:extLst>
              <c:ext xmlns:c16="http://schemas.microsoft.com/office/drawing/2014/chart" uri="{C3380CC4-5D6E-409C-BE32-E72D297353CC}">
                <c16:uniqueId val="{00000005-357E-499C-97EC-E5D94A103534}"/>
              </c:ext>
            </c:extLst>
          </c:dPt>
          <c:dLbls>
            <c:dLbl>
              <c:idx val="1"/>
              <c:delete val="1"/>
              <c:extLst>
                <c:ext xmlns:c15="http://schemas.microsoft.com/office/drawing/2012/chart" uri="{CE6537A1-D6FC-4f65-9D91-7224C49458BB}"/>
                <c:ext xmlns:c16="http://schemas.microsoft.com/office/drawing/2014/chart" uri="{C3380CC4-5D6E-409C-BE32-E72D297353CC}">
                  <c16:uniqueId val="{00000003-357E-499C-97EC-E5D94A103534}"/>
                </c:ext>
              </c:extLst>
            </c:dLbl>
            <c:dLbl>
              <c:idx val="2"/>
              <c:delete val="1"/>
              <c:extLst>
                <c:ext xmlns:c15="http://schemas.microsoft.com/office/drawing/2012/chart" uri="{CE6537A1-D6FC-4f65-9D91-7224C49458BB}"/>
                <c:ext xmlns:c16="http://schemas.microsoft.com/office/drawing/2014/chart" uri="{C3380CC4-5D6E-409C-BE32-E72D297353CC}">
                  <c16:uniqueId val="{00000004-357E-499C-97EC-E5D94A103534}"/>
                </c:ext>
              </c:extLst>
            </c:dLbl>
            <c:dLbl>
              <c:idx val="3"/>
              <c:delete val="1"/>
              <c:extLst>
                <c:ext xmlns:c15="http://schemas.microsoft.com/office/drawing/2012/chart" uri="{CE6537A1-D6FC-4f65-9D91-7224C49458BB}"/>
                <c:ext xmlns:c16="http://schemas.microsoft.com/office/drawing/2014/chart" uri="{C3380CC4-5D6E-409C-BE32-E72D297353CC}">
                  <c16:uniqueId val="{00000005-357E-499C-97EC-E5D94A1035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Calculation!$A$7:$A$12</c:f>
              <c:strCache>
                <c:ptCount val="5"/>
                <c:pt idx="0">
                  <c:v>january</c:v>
                </c:pt>
                <c:pt idx="1">
                  <c:v>february</c:v>
                </c:pt>
                <c:pt idx="2">
                  <c:v>march</c:v>
                </c:pt>
                <c:pt idx="3">
                  <c:v>april</c:v>
                </c:pt>
                <c:pt idx="4">
                  <c:v>may</c:v>
                </c:pt>
              </c:strCache>
            </c:strRef>
          </c:cat>
          <c:val>
            <c:numRef>
              <c:f>Calculation!$B$7:$B$12</c:f>
              <c:numCache>
                <c:formatCode>_-* #,##0\ _₫_-;\-* #,##0\ _₫_-;_-* "-"??\ _₫_-;_-@_-</c:formatCode>
                <c:ptCount val="5"/>
                <c:pt idx="0">
                  <c:v>2234860636.5</c:v>
                </c:pt>
                <c:pt idx="1">
                  <c:v>870543740.5</c:v>
                </c:pt>
                <c:pt idx="2">
                  <c:v>1107599299.9995999</c:v>
                </c:pt>
                <c:pt idx="3">
                  <c:v>1048046537.5</c:v>
                </c:pt>
                <c:pt idx="4">
                  <c:v>943372383.5</c:v>
                </c:pt>
              </c:numCache>
            </c:numRef>
          </c:val>
          <c:extLst>
            <c:ext xmlns:c16="http://schemas.microsoft.com/office/drawing/2014/chart" uri="{C3380CC4-5D6E-409C-BE32-E72D297353CC}">
              <c16:uniqueId val="{00000000-357E-499C-97EC-E5D94A103534}"/>
            </c:ext>
          </c:extLst>
        </c:ser>
        <c:dLbls>
          <c:dLblPos val="outEnd"/>
          <c:showLegendKey val="0"/>
          <c:showVal val="1"/>
          <c:showCatName val="0"/>
          <c:showSerName val="0"/>
          <c:showPercent val="0"/>
          <c:showBubbleSize val="0"/>
        </c:dLbls>
        <c:gapWidth val="150"/>
        <c:axId val="591195008"/>
        <c:axId val="591191168"/>
      </c:barChart>
      <c:lineChart>
        <c:grouping val="standard"/>
        <c:varyColors val="0"/>
        <c:ser>
          <c:idx val="1"/>
          <c:order val="1"/>
          <c:tx>
            <c:strRef>
              <c:f>Calculation!$C$6</c:f>
              <c:strCache>
                <c:ptCount val="1"/>
                <c:pt idx="0">
                  <c:v>Sum of Target by Day</c:v>
                </c:pt>
              </c:strCache>
            </c:strRef>
          </c:tx>
          <c:spPr>
            <a:ln w="28575" cap="rnd">
              <a:solidFill>
                <a:schemeClr val="accent2"/>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Calculation!$A$7:$A$12</c:f>
              <c:strCache>
                <c:ptCount val="5"/>
                <c:pt idx="0">
                  <c:v>january</c:v>
                </c:pt>
                <c:pt idx="1">
                  <c:v>february</c:v>
                </c:pt>
                <c:pt idx="2">
                  <c:v>march</c:v>
                </c:pt>
                <c:pt idx="3">
                  <c:v>april</c:v>
                </c:pt>
                <c:pt idx="4">
                  <c:v>may</c:v>
                </c:pt>
              </c:strCache>
            </c:strRef>
          </c:cat>
          <c:val>
            <c:numRef>
              <c:f>Calculation!$C$7:$C$12</c:f>
              <c:numCache>
                <c:formatCode>_-* #,##0\ _₫_-;\-* #,##0\ _₫_-;_-* "-"??\ _₫_-;_-@_-</c:formatCode>
                <c:ptCount val="5"/>
                <c:pt idx="0">
                  <c:v>1513400000</c:v>
                </c:pt>
                <c:pt idx="1">
                  <c:v>844000000</c:v>
                </c:pt>
                <c:pt idx="2">
                  <c:v>1025000000</c:v>
                </c:pt>
                <c:pt idx="3">
                  <c:v>1086000000</c:v>
                </c:pt>
                <c:pt idx="4">
                  <c:v>921000000</c:v>
                </c:pt>
              </c:numCache>
            </c:numRef>
          </c:val>
          <c:smooth val="0"/>
          <c:extLst>
            <c:ext xmlns:c16="http://schemas.microsoft.com/office/drawing/2014/chart" uri="{C3380CC4-5D6E-409C-BE32-E72D297353CC}">
              <c16:uniqueId val="{00000001-357E-499C-97EC-E5D94A103534}"/>
            </c:ext>
          </c:extLst>
        </c:ser>
        <c:dLbls>
          <c:showLegendKey val="0"/>
          <c:showVal val="1"/>
          <c:showCatName val="0"/>
          <c:showSerName val="0"/>
          <c:showPercent val="0"/>
          <c:showBubbleSize val="0"/>
        </c:dLbls>
        <c:marker val="1"/>
        <c:smooth val="0"/>
        <c:axId val="591195008"/>
        <c:axId val="591191168"/>
      </c:lineChart>
      <c:catAx>
        <c:axId val="591195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91168"/>
        <c:crosses val="autoZero"/>
        <c:auto val="1"/>
        <c:lblAlgn val="ctr"/>
        <c:lblOffset val="100"/>
        <c:noMultiLvlLbl val="0"/>
      </c:catAx>
      <c:valAx>
        <c:axId val="591191168"/>
        <c:scaling>
          <c:orientation val="minMax"/>
        </c:scaling>
        <c:delete val="1"/>
        <c:axPos val="l"/>
        <c:numFmt formatCode="_-* #,##0\ _₫_-;\-* #,##0\ _₫_-;_-* &quot;-&quot;??\ _₫_-;_-@_-" sourceLinked="1"/>
        <c:majorTickMark val="out"/>
        <c:minorTickMark val="none"/>
        <c:tickLblPos val="nextTo"/>
        <c:crossAx val="591195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[Daily_Sales.xlsx]Calculation!Trafic&amp;CR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and Conversion Rate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Calculation!$C$20</c:f>
              <c:strCache>
                <c:ptCount val="1"/>
                <c:pt idx="0">
                  <c:v>Average of Traffic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Calculation!$A$21:$A$26</c:f>
              <c:strCache>
                <c:ptCount val="5"/>
                <c:pt idx="0">
                  <c:v>january</c:v>
                </c:pt>
                <c:pt idx="1">
                  <c:v>february</c:v>
                </c:pt>
                <c:pt idx="2">
                  <c:v>march</c:v>
                </c:pt>
                <c:pt idx="3">
                  <c:v>april</c:v>
                </c:pt>
                <c:pt idx="4">
                  <c:v>may</c:v>
                </c:pt>
              </c:strCache>
            </c:strRef>
          </c:cat>
          <c:val>
            <c:numRef>
              <c:f>Calculation!$C$21:$C$26</c:f>
              <c:numCache>
                <c:formatCode>_-* #,##0_-;\-* #,##0_-;_-* "-"??_-;_-@_-</c:formatCode>
                <c:ptCount val="5"/>
                <c:pt idx="0">
                  <c:v>316.96428571428572</c:v>
                </c:pt>
                <c:pt idx="1">
                  <c:v>112.95454545454545</c:v>
                </c:pt>
                <c:pt idx="2">
                  <c:v>93.032258064516128</c:v>
                </c:pt>
                <c:pt idx="3">
                  <c:v>102.46666666666667</c:v>
                </c:pt>
                <c:pt idx="4">
                  <c:v>93.34615384615384</c:v>
                </c:pt>
              </c:numCache>
            </c:numRef>
          </c:val>
          <c:smooth val="0"/>
          <c:extLst>
            <c:ext xmlns:c16="http://schemas.microsoft.com/office/drawing/2014/chart" uri="{C3380CC4-5D6E-409C-BE32-E72D297353CC}">
              <c16:uniqueId val="{00000001-A3AB-4E00-9A03-1A85D4F8BAAE}"/>
            </c:ext>
          </c:extLst>
        </c:ser>
        <c:dLbls>
          <c:dLblPos val="t"/>
          <c:showLegendKey val="0"/>
          <c:showVal val="1"/>
          <c:showCatName val="0"/>
          <c:showSerName val="0"/>
          <c:showPercent val="0"/>
          <c:showBubbleSize val="0"/>
        </c:dLbls>
        <c:marker val="1"/>
        <c:smooth val="0"/>
        <c:axId val="591070688"/>
        <c:axId val="591080288"/>
      </c:lineChart>
      <c:lineChart>
        <c:grouping val="stacked"/>
        <c:varyColors val="0"/>
        <c:ser>
          <c:idx val="0"/>
          <c:order val="0"/>
          <c:tx>
            <c:strRef>
              <c:f>Calculation!$B$20</c:f>
              <c:strCache>
                <c:ptCount val="1"/>
                <c:pt idx="0">
                  <c:v>Average of Conversion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Calculation!$A$21:$A$26</c:f>
              <c:strCache>
                <c:ptCount val="5"/>
                <c:pt idx="0">
                  <c:v>january</c:v>
                </c:pt>
                <c:pt idx="1">
                  <c:v>february</c:v>
                </c:pt>
                <c:pt idx="2">
                  <c:v>march</c:v>
                </c:pt>
                <c:pt idx="3">
                  <c:v>april</c:v>
                </c:pt>
                <c:pt idx="4">
                  <c:v>may</c:v>
                </c:pt>
              </c:strCache>
            </c:strRef>
          </c:cat>
          <c:val>
            <c:numRef>
              <c:f>Calculation!$B$21:$B$26</c:f>
              <c:numCache>
                <c:formatCode>0%</c:formatCode>
                <c:ptCount val="5"/>
                <c:pt idx="0">
                  <c:v>0.46169382423193378</c:v>
                </c:pt>
                <c:pt idx="1">
                  <c:v>0.69598308950624321</c:v>
                </c:pt>
                <c:pt idx="2">
                  <c:v>0.67330301187922548</c:v>
                </c:pt>
                <c:pt idx="3">
                  <c:v>0.632911802248738</c:v>
                </c:pt>
                <c:pt idx="4">
                  <c:v>0.70612134801832138</c:v>
                </c:pt>
              </c:numCache>
            </c:numRef>
          </c:val>
          <c:smooth val="0"/>
          <c:extLst>
            <c:ext xmlns:c16="http://schemas.microsoft.com/office/drawing/2014/chart" uri="{C3380CC4-5D6E-409C-BE32-E72D297353CC}">
              <c16:uniqueId val="{00000000-A3AB-4E00-9A03-1A85D4F8BAAE}"/>
            </c:ext>
          </c:extLst>
        </c:ser>
        <c:dLbls>
          <c:dLblPos val="t"/>
          <c:showLegendKey val="0"/>
          <c:showVal val="1"/>
          <c:showCatName val="0"/>
          <c:showSerName val="0"/>
          <c:showPercent val="0"/>
          <c:showBubbleSize val="0"/>
        </c:dLbls>
        <c:marker val="1"/>
        <c:smooth val="0"/>
        <c:axId val="591086048"/>
        <c:axId val="591069248"/>
      </c:lineChart>
      <c:catAx>
        <c:axId val="5910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80288"/>
        <c:crosses val="autoZero"/>
        <c:auto val="1"/>
        <c:lblAlgn val="ctr"/>
        <c:lblOffset val="100"/>
        <c:noMultiLvlLbl val="0"/>
      </c:catAx>
      <c:valAx>
        <c:axId val="59108028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70688"/>
        <c:crosses val="autoZero"/>
        <c:crossBetween val="between"/>
      </c:valAx>
      <c:valAx>
        <c:axId val="5910692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86048"/>
        <c:crosses val="max"/>
        <c:crossBetween val="between"/>
      </c:valAx>
      <c:catAx>
        <c:axId val="591086048"/>
        <c:scaling>
          <c:orientation val="minMax"/>
        </c:scaling>
        <c:delete val="1"/>
        <c:axPos val="b"/>
        <c:numFmt formatCode="General" sourceLinked="1"/>
        <c:majorTickMark val="out"/>
        <c:minorTickMark val="none"/>
        <c:tickLblPos val="nextTo"/>
        <c:crossAx val="5910692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5437796437068"/>
          <c:y val="0.15782407407407409"/>
          <c:w val="0.83411435799346201"/>
          <c:h val="0.77736111111111106"/>
        </c:manualLayout>
      </c:layout>
      <c:barChart>
        <c:barDir val="bar"/>
        <c:grouping val="clustered"/>
        <c:varyColors val="0"/>
        <c:ser>
          <c:idx val="0"/>
          <c:order val="0"/>
          <c:tx>
            <c:strRef>
              <c:f>Calculation!$M$1</c:f>
              <c:strCache>
                <c:ptCount val="1"/>
                <c:pt idx="0">
                  <c:v>Average of Revenue</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3-3B6B-4D97-9B58-9CBC6660E743}"/>
              </c:ext>
            </c:extLst>
          </c:dPt>
          <c:dPt>
            <c:idx val="2"/>
            <c:invertIfNegative val="0"/>
            <c:bubble3D val="0"/>
            <c:extLst>
              <c:ext xmlns:c16="http://schemas.microsoft.com/office/drawing/2014/chart" uri="{C3380CC4-5D6E-409C-BE32-E72D297353CC}">
                <c16:uniqueId val="{00000004-3B6B-4D97-9B58-9CBC6660E743}"/>
              </c:ext>
            </c:extLst>
          </c:dPt>
          <c:dPt>
            <c:idx val="4"/>
            <c:invertIfNegative val="0"/>
            <c:bubble3D val="0"/>
            <c:extLst>
              <c:ext xmlns:c16="http://schemas.microsoft.com/office/drawing/2014/chart" uri="{C3380CC4-5D6E-409C-BE32-E72D297353CC}">
                <c16:uniqueId val="{00000005-3B6B-4D97-9B58-9CBC6660E743}"/>
              </c:ext>
            </c:extLst>
          </c:dPt>
          <c:dLbls>
            <c:dLbl>
              <c:idx val="1"/>
              <c:delete val="1"/>
              <c:extLst>
                <c:ext xmlns:c15="http://schemas.microsoft.com/office/drawing/2012/chart" uri="{CE6537A1-D6FC-4f65-9D91-7224C49458BB}"/>
                <c:ext xmlns:c16="http://schemas.microsoft.com/office/drawing/2014/chart" uri="{C3380CC4-5D6E-409C-BE32-E72D297353CC}">
                  <c16:uniqueId val="{00000003-3B6B-4D97-9B58-9CBC6660E743}"/>
                </c:ext>
              </c:extLst>
            </c:dLbl>
            <c:dLbl>
              <c:idx val="2"/>
              <c:delete val="1"/>
              <c:extLst>
                <c:ext xmlns:c15="http://schemas.microsoft.com/office/drawing/2012/chart" uri="{CE6537A1-D6FC-4f65-9D91-7224C49458BB}"/>
                <c:ext xmlns:c16="http://schemas.microsoft.com/office/drawing/2014/chart" uri="{C3380CC4-5D6E-409C-BE32-E72D297353CC}">
                  <c16:uniqueId val="{00000004-3B6B-4D97-9B58-9CBC6660E743}"/>
                </c:ext>
              </c:extLst>
            </c:dLbl>
            <c:dLbl>
              <c:idx val="4"/>
              <c:delete val="1"/>
              <c:extLst>
                <c:ext xmlns:c15="http://schemas.microsoft.com/office/drawing/2012/chart" uri="{CE6537A1-D6FC-4f65-9D91-7224C49458BB}"/>
                <c:ext xmlns:c16="http://schemas.microsoft.com/office/drawing/2014/chart" uri="{C3380CC4-5D6E-409C-BE32-E72D297353CC}">
                  <c16:uniqueId val="{00000005-3B6B-4D97-9B58-9CBC6660E7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Calculation!$M$2:$M$9</c:f>
              <c:numCache>
                <c:formatCode>_-* #,##0\ [$₫-42A]_-;\-* #,##0\ [$₫-42A]_-;_-* "-"??\ [$₫-42A]_-;_-@_-</c:formatCode>
                <c:ptCount val="7"/>
                <c:pt idx="0">
                  <c:v>35078917.921031572</c:v>
                </c:pt>
                <c:pt idx="1">
                  <c:v>38056343.499989472</c:v>
                </c:pt>
                <c:pt idx="2">
                  <c:v>40302823.71052105</c:v>
                </c:pt>
                <c:pt idx="3">
                  <c:v>47507972.225024998</c:v>
                </c:pt>
                <c:pt idx="4">
                  <c:v>45162796.77499</c:v>
                </c:pt>
                <c:pt idx="5">
                  <c:v>55290059.475000001</c:v>
                </c:pt>
                <c:pt idx="6">
                  <c:v>54494120.549999997</c:v>
                </c:pt>
              </c:numCache>
            </c:numRef>
          </c:val>
          <c:extLst>
            <c:ext xmlns:c16="http://schemas.microsoft.com/office/drawing/2014/chart" uri="{C3380CC4-5D6E-409C-BE32-E72D297353CC}">
              <c16:uniqueId val="{00000000-3B6B-4D97-9B58-9CBC6660E743}"/>
            </c:ext>
          </c:extLst>
        </c:ser>
        <c:ser>
          <c:idx val="1"/>
          <c:order val="1"/>
          <c:tx>
            <c:strRef>
              <c:f>Calculation!$N$1</c:f>
              <c:strCache>
                <c:ptCount val="1"/>
                <c:pt idx="0">
                  <c:v>Average of Conversion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Calculation!$N$2:$N$9</c:f>
              <c:numCache>
                <c:formatCode>0.00%</c:formatCode>
                <c:ptCount val="7"/>
                <c:pt idx="0">
                  <c:v>0.63591502078624496</c:v>
                </c:pt>
                <c:pt idx="1">
                  <c:v>0.64863466402792169</c:v>
                </c:pt>
                <c:pt idx="2">
                  <c:v>0.6613098886279124</c:v>
                </c:pt>
                <c:pt idx="3">
                  <c:v>0.61744643212630834</c:v>
                </c:pt>
                <c:pt idx="4">
                  <c:v>0.64488300391189868</c:v>
                </c:pt>
                <c:pt idx="5">
                  <c:v>0.61466226845531258</c:v>
                </c:pt>
                <c:pt idx="6">
                  <c:v>0.59733957732780352</c:v>
                </c:pt>
              </c:numCache>
            </c:numRef>
          </c:val>
          <c:extLst>
            <c:ext xmlns:c16="http://schemas.microsoft.com/office/drawing/2014/chart" uri="{C3380CC4-5D6E-409C-BE32-E72D297353CC}">
              <c16:uniqueId val="{00000007-3B6B-4D97-9B58-9CBC6660E743}"/>
            </c:ext>
          </c:extLst>
        </c:ser>
        <c:dLbls>
          <c:dLblPos val="inBase"/>
          <c:showLegendKey val="0"/>
          <c:showVal val="1"/>
          <c:showCatName val="0"/>
          <c:showSerName val="0"/>
          <c:showPercent val="0"/>
          <c:showBubbleSize val="0"/>
        </c:dLbls>
        <c:gapWidth val="150"/>
        <c:axId val="591166688"/>
        <c:axId val="591175808"/>
      </c:barChart>
      <c:catAx>
        <c:axId val="59116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75808"/>
        <c:crosses val="autoZero"/>
        <c:auto val="1"/>
        <c:lblAlgn val="ctr"/>
        <c:lblOffset val="100"/>
        <c:noMultiLvlLbl val="0"/>
      </c:catAx>
      <c:valAx>
        <c:axId val="591175808"/>
        <c:scaling>
          <c:orientation val="minMax"/>
        </c:scaling>
        <c:delete val="1"/>
        <c:axPos val="b"/>
        <c:numFmt formatCode="_-* #,##0\ [$₫-42A]_-;\-* #,##0\ [$₫-42A]_-;_-* &quot;-&quot;??\ [$₫-42A]_-;_-@_-" sourceLinked="1"/>
        <c:majorTickMark val="out"/>
        <c:minorTickMark val="none"/>
        <c:tickLblPos val="nextTo"/>
        <c:crossAx val="59116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[Daily_Sales.xlsx]Calculation!WeeklyRev</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Weekly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Calculation!$B$37</c:f>
              <c:strCache>
                <c:ptCount val="1"/>
                <c:pt idx="0">
                  <c:v>Total</c:v>
                </c:pt>
              </c:strCache>
            </c:strRef>
          </c:tx>
          <c:spPr>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cat>
            <c:strRef>
              <c:f>Calculation!$A$38:$A$59</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Calculation!$B$38:$B$59</c:f>
              <c:numCache>
                <c:formatCode>_-* #,##0\ [$₫-42A]_-;\-* #,##0\ [$₫-42A]_-;_-* "-"??\ [$₫-42A]_-;_-@_-</c:formatCode>
                <c:ptCount val="21"/>
                <c:pt idx="0">
                  <c:v>469221835</c:v>
                </c:pt>
                <c:pt idx="1">
                  <c:v>594041107.5</c:v>
                </c:pt>
                <c:pt idx="2">
                  <c:v>571003131.5</c:v>
                </c:pt>
                <c:pt idx="3">
                  <c:v>600594562.5</c:v>
                </c:pt>
                <c:pt idx="4">
                  <c:v>292957759</c:v>
                </c:pt>
                <c:pt idx="5">
                  <c:v>179739719.5</c:v>
                </c:pt>
                <c:pt idx="6">
                  <c:v>76313676</c:v>
                </c:pt>
                <c:pt idx="7">
                  <c:v>204446785.5</c:v>
                </c:pt>
                <c:pt idx="8">
                  <c:v>226597537.5</c:v>
                </c:pt>
                <c:pt idx="9">
                  <c:v>264966056.99970001</c:v>
                </c:pt>
                <c:pt idx="10">
                  <c:v>280197702.00010002</c:v>
                </c:pt>
                <c:pt idx="11">
                  <c:v>216598434</c:v>
                </c:pt>
                <c:pt idx="12">
                  <c:v>236325369.9998</c:v>
                </c:pt>
                <c:pt idx="13">
                  <c:v>227506372</c:v>
                </c:pt>
                <c:pt idx="14">
                  <c:v>258014290</c:v>
                </c:pt>
                <c:pt idx="15">
                  <c:v>318821398.5</c:v>
                </c:pt>
                <c:pt idx="16">
                  <c:v>199427997</c:v>
                </c:pt>
                <c:pt idx="17">
                  <c:v>197758399</c:v>
                </c:pt>
                <c:pt idx="18">
                  <c:v>221487984</c:v>
                </c:pt>
                <c:pt idx="19">
                  <c:v>289661174</c:v>
                </c:pt>
                <c:pt idx="20">
                  <c:v>278741306.5</c:v>
                </c:pt>
              </c:numCache>
            </c:numRef>
          </c:val>
          <c:smooth val="0"/>
          <c:extLst>
            <c:ext xmlns:c16="http://schemas.microsoft.com/office/drawing/2014/chart" uri="{C3380CC4-5D6E-409C-BE32-E72D297353CC}">
              <c16:uniqueId val="{00000000-FBFC-4C30-B11A-6C2CFCC7C848}"/>
            </c:ext>
          </c:extLst>
        </c:ser>
        <c:dLbls>
          <c:showLegendKey val="0"/>
          <c:showVal val="0"/>
          <c:showCatName val="0"/>
          <c:showSerName val="0"/>
          <c:showPercent val="0"/>
          <c:showBubbleSize val="0"/>
        </c:dLbls>
        <c:marker val="1"/>
        <c:smooth val="0"/>
        <c:axId val="583133152"/>
        <c:axId val="583141312"/>
      </c:lineChart>
      <c:catAx>
        <c:axId val="583133152"/>
        <c:scaling>
          <c:orientation val="minMax"/>
        </c:scaling>
        <c:delete val="1"/>
        <c:axPos val="b"/>
        <c:numFmt formatCode="General" sourceLinked="1"/>
        <c:majorTickMark val="none"/>
        <c:minorTickMark val="none"/>
        <c:tickLblPos val="nextTo"/>
        <c:crossAx val="583141312"/>
        <c:crosses val="autoZero"/>
        <c:auto val="1"/>
        <c:lblAlgn val="ctr"/>
        <c:lblOffset val="100"/>
        <c:noMultiLvlLbl val="0"/>
      </c:catAx>
      <c:valAx>
        <c:axId val="583141312"/>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APT and UPT by Weekday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Calculation!$M$27</c:f>
              <c:strCache>
                <c:ptCount val="1"/>
                <c:pt idx="0">
                  <c:v>Average of APT</c:v>
                </c:pt>
              </c:strCache>
            </c:strRef>
          </c:tx>
          <c:spPr>
            <a:solidFill>
              <a:schemeClr val="accent1"/>
            </a:solidFill>
            <a:ln>
              <a:noFill/>
            </a:ln>
            <a:effectLst/>
          </c:spPr>
          <c:invertIfNegative val="0"/>
          <c:cat>
            <c:strRef>
              <c:f>Calculation!$L$28:$L$35</c:f>
              <c:strCache>
                <c:ptCount val="7"/>
                <c:pt idx="0">
                  <c:v>monday</c:v>
                </c:pt>
                <c:pt idx="1">
                  <c:v>tuesday</c:v>
                </c:pt>
                <c:pt idx="2">
                  <c:v>wednesday</c:v>
                </c:pt>
                <c:pt idx="3">
                  <c:v>thursday</c:v>
                </c:pt>
                <c:pt idx="4">
                  <c:v>friday</c:v>
                </c:pt>
                <c:pt idx="5">
                  <c:v>saturday</c:v>
                </c:pt>
                <c:pt idx="6">
                  <c:v>sunday</c:v>
                </c:pt>
              </c:strCache>
            </c:strRef>
          </c:cat>
          <c:val>
            <c:numRef>
              <c:f>Calculation!$M$28:$M$35</c:f>
              <c:numCache>
                <c:formatCode>_-* #,##0\ [$₫-42A]_-;\-* #,##0\ [$₫-42A]_-;_-* "-"??\ [$₫-42A]_-;_-@_-</c:formatCode>
                <c:ptCount val="7"/>
                <c:pt idx="0">
                  <c:v>574395.35384141665</c:v>
                </c:pt>
                <c:pt idx="1">
                  <c:v>566677.97317126812</c:v>
                </c:pt>
                <c:pt idx="2">
                  <c:v>548130.62556417962</c:v>
                </c:pt>
                <c:pt idx="3">
                  <c:v>565615.07325951231</c:v>
                </c:pt>
                <c:pt idx="4">
                  <c:v>545569.06079896237</c:v>
                </c:pt>
                <c:pt idx="5">
                  <c:v>558934.88349414244</c:v>
                </c:pt>
                <c:pt idx="6">
                  <c:v>569180.82893708698</c:v>
                </c:pt>
              </c:numCache>
            </c:numRef>
          </c:val>
          <c:extLst>
            <c:ext xmlns:c16="http://schemas.microsoft.com/office/drawing/2014/chart" uri="{C3380CC4-5D6E-409C-BE32-E72D297353CC}">
              <c16:uniqueId val="{00000000-1D6F-42CF-AD91-1B03FF432716}"/>
            </c:ext>
          </c:extLst>
        </c:ser>
        <c:dLbls>
          <c:showLegendKey val="0"/>
          <c:showVal val="0"/>
          <c:showCatName val="0"/>
          <c:showSerName val="0"/>
          <c:showPercent val="0"/>
          <c:showBubbleSize val="0"/>
        </c:dLbls>
        <c:gapWidth val="150"/>
        <c:axId val="890650304"/>
        <c:axId val="890652224"/>
      </c:barChart>
      <c:lineChart>
        <c:grouping val="standard"/>
        <c:varyColors val="0"/>
        <c:ser>
          <c:idx val="1"/>
          <c:order val="1"/>
          <c:tx>
            <c:strRef>
              <c:f>Calculation!$N$27</c:f>
              <c:strCache>
                <c:ptCount val="1"/>
                <c:pt idx="0">
                  <c:v>Average of UPT</c:v>
                </c:pt>
              </c:strCache>
            </c:strRef>
          </c:tx>
          <c:spPr>
            <a:ln w="28575" cap="rnd">
              <a:solidFill>
                <a:schemeClr val="accent2"/>
              </a:solidFill>
              <a:round/>
            </a:ln>
            <a:effectLst/>
          </c:spPr>
          <c:marker>
            <c:symbol val="none"/>
          </c:marker>
          <c:cat>
            <c:strRef>
              <c:f>Calculation!$L$28:$L$35</c:f>
              <c:strCache>
                <c:ptCount val="7"/>
                <c:pt idx="0">
                  <c:v>monday</c:v>
                </c:pt>
                <c:pt idx="1">
                  <c:v>tuesday</c:v>
                </c:pt>
                <c:pt idx="2">
                  <c:v>wednesday</c:v>
                </c:pt>
                <c:pt idx="3">
                  <c:v>thursday</c:v>
                </c:pt>
                <c:pt idx="4">
                  <c:v>friday</c:v>
                </c:pt>
                <c:pt idx="5">
                  <c:v>saturday</c:v>
                </c:pt>
                <c:pt idx="6">
                  <c:v>sunday</c:v>
                </c:pt>
              </c:strCache>
            </c:strRef>
          </c:cat>
          <c:val>
            <c:numRef>
              <c:f>Calculation!$N$28:$N$35</c:f>
              <c:numCache>
                <c:formatCode>General</c:formatCode>
                <c:ptCount val="7"/>
                <c:pt idx="0">
                  <c:v>1.9016519982223796</c:v>
                </c:pt>
                <c:pt idx="1">
                  <c:v>1.8273402621143422</c:v>
                </c:pt>
                <c:pt idx="2">
                  <c:v>1.7892186975788873</c:v>
                </c:pt>
                <c:pt idx="3">
                  <c:v>1.8300411902193976</c:v>
                </c:pt>
                <c:pt idx="4">
                  <c:v>1.7819451497786634</c:v>
                </c:pt>
                <c:pt idx="5">
                  <c:v>1.8381153875496867</c:v>
                </c:pt>
                <c:pt idx="6">
                  <c:v>1.8347122251308678</c:v>
                </c:pt>
              </c:numCache>
            </c:numRef>
          </c:val>
          <c:smooth val="0"/>
          <c:extLst>
            <c:ext xmlns:c16="http://schemas.microsoft.com/office/drawing/2014/chart" uri="{C3380CC4-5D6E-409C-BE32-E72D297353CC}">
              <c16:uniqueId val="{00000003-1D6F-42CF-AD91-1B03FF432716}"/>
            </c:ext>
          </c:extLst>
        </c:ser>
        <c:dLbls>
          <c:showLegendKey val="0"/>
          <c:showVal val="0"/>
          <c:showCatName val="0"/>
          <c:showSerName val="0"/>
          <c:showPercent val="0"/>
          <c:showBubbleSize val="0"/>
        </c:dLbls>
        <c:marker val="1"/>
        <c:smooth val="0"/>
        <c:axId val="890631584"/>
        <c:axId val="890629184"/>
      </c:lineChart>
      <c:catAx>
        <c:axId val="8906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52224"/>
        <c:crosses val="autoZero"/>
        <c:auto val="1"/>
        <c:lblAlgn val="ctr"/>
        <c:lblOffset val="100"/>
        <c:noMultiLvlLbl val="0"/>
      </c:catAx>
      <c:valAx>
        <c:axId val="89065222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50304"/>
        <c:crosses val="autoZero"/>
        <c:crossBetween val="between"/>
      </c:valAx>
      <c:valAx>
        <c:axId val="8906291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31584"/>
        <c:crosses val="max"/>
        <c:crossBetween val="between"/>
      </c:valAx>
      <c:catAx>
        <c:axId val="890631584"/>
        <c:scaling>
          <c:orientation val="minMax"/>
        </c:scaling>
        <c:delete val="1"/>
        <c:axPos val="b"/>
        <c:numFmt formatCode="General" sourceLinked="1"/>
        <c:majorTickMark val="out"/>
        <c:minorTickMark val="none"/>
        <c:tickLblPos val="nextTo"/>
        <c:crossAx val="8906291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and Conversion Rate by Weekday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Calculation!$P$1</c:f>
              <c:strCache>
                <c:ptCount val="1"/>
                <c:pt idx="0">
                  <c:v>Average of Traffic</c:v>
                </c:pt>
              </c:strCache>
            </c:strRef>
          </c:tx>
          <c:spPr>
            <a:solidFill>
              <a:schemeClr val="accent1"/>
            </a:solidFill>
            <a:ln>
              <a:noFill/>
            </a:ln>
            <a:effectLst/>
          </c:spPr>
          <c:invertIfNegative val="0"/>
          <c:cat>
            <c:strRef>
              <c:f>Calculation!$O$2:$O$9</c:f>
              <c:strCache>
                <c:ptCount val="7"/>
                <c:pt idx="0">
                  <c:v>monday</c:v>
                </c:pt>
                <c:pt idx="1">
                  <c:v>tuesday</c:v>
                </c:pt>
                <c:pt idx="2">
                  <c:v>wednesday</c:v>
                </c:pt>
                <c:pt idx="3">
                  <c:v>thursday</c:v>
                </c:pt>
                <c:pt idx="4">
                  <c:v>friday</c:v>
                </c:pt>
                <c:pt idx="5">
                  <c:v>saturday</c:v>
                </c:pt>
                <c:pt idx="6">
                  <c:v>sunday</c:v>
                </c:pt>
              </c:strCache>
            </c:strRef>
          </c:cat>
          <c:val>
            <c:numRef>
              <c:f>Calculation!$P$2:$P$9</c:f>
              <c:numCache>
                <c:formatCode>0</c:formatCode>
                <c:ptCount val="7"/>
                <c:pt idx="0">
                  <c:v>110.26315789473684</c:v>
                </c:pt>
                <c:pt idx="1">
                  <c:v>115.68421052631579</c:v>
                </c:pt>
                <c:pt idx="2">
                  <c:v>130</c:v>
                </c:pt>
                <c:pt idx="3">
                  <c:v>153.05000000000001</c:v>
                </c:pt>
                <c:pt idx="4">
                  <c:v>135.30000000000001</c:v>
                </c:pt>
                <c:pt idx="5">
                  <c:v>174.9</c:v>
                </c:pt>
                <c:pt idx="6">
                  <c:v>185.85</c:v>
                </c:pt>
              </c:numCache>
            </c:numRef>
          </c:val>
          <c:extLst>
            <c:ext xmlns:c16="http://schemas.microsoft.com/office/drawing/2014/chart" uri="{C3380CC4-5D6E-409C-BE32-E72D297353CC}">
              <c16:uniqueId val="{00000000-4EFE-49B6-90A4-D044F55A76BF}"/>
            </c:ext>
          </c:extLst>
        </c:ser>
        <c:dLbls>
          <c:showLegendKey val="0"/>
          <c:showVal val="0"/>
          <c:showCatName val="0"/>
          <c:showSerName val="0"/>
          <c:showPercent val="0"/>
          <c:showBubbleSize val="0"/>
        </c:dLbls>
        <c:gapWidth val="219"/>
        <c:axId val="591101408"/>
        <c:axId val="591113408"/>
      </c:barChart>
      <c:lineChart>
        <c:grouping val="standard"/>
        <c:varyColors val="0"/>
        <c:ser>
          <c:idx val="1"/>
          <c:order val="1"/>
          <c:tx>
            <c:strRef>
              <c:f>Calculation!$Q$1</c:f>
              <c:strCache>
                <c:ptCount val="1"/>
                <c:pt idx="0">
                  <c:v>Average of Conversion Rate</c:v>
                </c:pt>
              </c:strCache>
            </c:strRef>
          </c:tx>
          <c:spPr>
            <a:ln w="28575" cap="rnd">
              <a:solidFill>
                <a:schemeClr val="accent2"/>
              </a:solidFill>
              <a:round/>
            </a:ln>
            <a:effectLst/>
          </c:spPr>
          <c:marker>
            <c:symbol val="none"/>
          </c:marker>
          <c:cat>
            <c:strRef>
              <c:f>Calculation!$O$2:$O$9</c:f>
              <c:strCache>
                <c:ptCount val="7"/>
                <c:pt idx="0">
                  <c:v>monday</c:v>
                </c:pt>
                <c:pt idx="1">
                  <c:v>tuesday</c:v>
                </c:pt>
                <c:pt idx="2">
                  <c:v>wednesday</c:v>
                </c:pt>
                <c:pt idx="3">
                  <c:v>thursday</c:v>
                </c:pt>
                <c:pt idx="4">
                  <c:v>friday</c:v>
                </c:pt>
                <c:pt idx="5">
                  <c:v>saturday</c:v>
                </c:pt>
                <c:pt idx="6">
                  <c:v>sunday</c:v>
                </c:pt>
              </c:strCache>
            </c:strRef>
          </c:cat>
          <c:val>
            <c:numRef>
              <c:f>Calculation!$Q$2:$Q$9</c:f>
              <c:numCache>
                <c:formatCode>0.00%</c:formatCode>
                <c:ptCount val="7"/>
                <c:pt idx="0">
                  <c:v>0.63591502078624496</c:v>
                </c:pt>
                <c:pt idx="1">
                  <c:v>0.64863466402792169</c:v>
                </c:pt>
                <c:pt idx="2">
                  <c:v>0.6613098886279124</c:v>
                </c:pt>
                <c:pt idx="3">
                  <c:v>0.61744643212630834</c:v>
                </c:pt>
                <c:pt idx="4">
                  <c:v>0.64488300391189868</c:v>
                </c:pt>
                <c:pt idx="5">
                  <c:v>0.61466226845531258</c:v>
                </c:pt>
                <c:pt idx="6">
                  <c:v>0.59733957732780352</c:v>
                </c:pt>
              </c:numCache>
            </c:numRef>
          </c:val>
          <c:smooth val="0"/>
          <c:extLst>
            <c:ext xmlns:c16="http://schemas.microsoft.com/office/drawing/2014/chart" uri="{C3380CC4-5D6E-409C-BE32-E72D297353CC}">
              <c16:uniqueId val="{00000001-4EFE-49B6-90A4-D044F55A76BF}"/>
            </c:ext>
          </c:extLst>
        </c:ser>
        <c:dLbls>
          <c:showLegendKey val="0"/>
          <c:showVal val="0"/>
          <c:showCatName val="0"/>
          <c:showSerName val="0"/>
          <c:showPercent val="0"/>
          <c:showBubbleSize val="0"/>
        </c:dLbls>
        <c:marker val="1"/>
        <c:smooth val="0"/>
        <c:axId val="591119168"/>
        <c:axId val="591125888"/>
      </c:lineChart>
      <c:catAx>
        <c:axId val="5911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13408"/>
        <c:crosses val="autoZero"/>
        <c:auto val="1"/>
        <c:lblAlgn val="ctr"/>
        <c:lblOffset val="100"/>
        <c:noMultiLvlLbl val="0"/>
      </c:catAx>
      <c:valAx>
        <c:axId val="591113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01408"/>
        <c:crosses val="autoZero"/>
        <c:crossBetween val="between"/>
      </c:valAx>
      <c:valAx>
        <c:axId val="5911258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19168"/>
        <c:crosses val="max"/>
        <c:crossBetween val="between"/>
      </c:valAx>
      <c:catAx>
        <c:axId val="591119168"/>
        <c:scaling>
          <c:orientation val="minMax"/>
        </c:scaling>
        <c:delete val="1"/>
        <c:axPos val="b"/>
        <c:numFmt formatCode="General" sourceLinked="1"/>
        <c:majorTickMark val="out"/>
        <c:minorTickMark val="none"/>
        <c:tickLblPos val="nextTo"/>
        <c:crossAx val="59112588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Calculation!$M$1</c:f>
              <c:strCache>
                <c:ptCount val="1"/>
                <c:pt idx="0">
                  <c:v>Average of Revenue</c:v>
                </c:pt>
              </c:strCache>
            </c:strRef>
          </c:tx>
          <c:spPr>
            <a:solidFill>
              <a:schemeClr val="accent1"/>
            </a:solidFill>
            <a:ln>
              <a:noFill/>
            </a:ln>
            <a:effectLst/>
          </c:spPr>
          <c:invertIfNegative val="0"/>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Calculation!$M$2:$M$9</c:f>
              <c:numCache>
                <c:formatCode>_-* #,##0\ [$₫-42A]_-;\-* #,##0\ [$₫-42A]_-;_-* "-"??\ [$₫-42A]_-;_-@_-</c:formatCode>
                <c:ptCount val="7"/>
                <c:pt idx="0">
                  <c:v>35078917.921031572</c:v>
                </c:pt>
                <c:pt idx="1">
                  <c:v>38056343.499989472</c:v>
                </c:pt>
                <c:pt idx="2">
                  <c:v>40302823.71052105</c:v>
                </c:pt>
                <c:pt idx="3">
                  <c:v>47507972.225024998</c:v>
                </c:pt>
                <c:pt idx="4">
                  <c:v>45162796.77499</c:v>
                </c:pt>
                <c:pt idx="5">
                  <c:v>55290059.475000001</c:v>
                </c:pt>
                <c:pt idx="6">
                  <c:v>54494120.549999997</c:v>
                </c:pt>
              </c:numCache>
            </c:numRef>
          </c:val>
          <c:extLst>
            <c:ext xmlns:c16="http://schemas.microsoft.com/office/drawing/2014/chart" uri="{C3380CC4-5D6E-409C-BE32-E72D297353CC}">
              <c16:uniqueId val="{00000000-16B8-4580-9963-08150B70E472}"/>
            </c:ext>
          </c:extLst>
        </c:ser>
        <c:dLbls>
          <c:showLegendKey val="0"/>
          <c:showVal val="0"/>
          <c:showCatName val="0"/>
          <c:showSerName val="0"/>
          <c:showPercent val="0"/>
          <c:showBubbleSize val="0"/>
        </c:dLbls>
        <c:gapWidth val="150"/>
        <c:axId val="890682464"/>
        <c:axId val="890682944"/>
      </c:barChart>
      <c:lineChart>
        <c:grouping val="standard"/>
        <c:varyColors val="0"/>
        <c:ser>
          <c:idx val="1"/>
          <c:order val="1"/>
          <c:tx>
            <c:strRef>
              <c:f>Calculation!$N$1</c:f>
              <c:strCache>
                <c:ptCount val="1"/>
                <c:pt idx="0">
                  <c:v>Average of Conversion Rate</c:v>
                </c:pt>
              </c:strCache>
            </c:strRef>
          </c:tx>
          <c:spPr>
            <a:ln w="28575" cap="rnd">
              <a:solidFill>
                <a:schemeClr val="accent2"/>
              </a:solidFill>
              <a:round/>
            </a:ln>
            <a:effectLst/>
          </c:spPr>
          <c:marker>
            <c:symbol val="none"/>
          </c:marker>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Calculation!$N$2:$N$9</c:f>
              <c:numCache>
                <c:formatCode>0.00%</c:formatCode>
                <c:ptCount val="7"/>
                <c:pt idx="0">
                  <c:v>0.63591502078624496</c:v>
                </c:pt>
                <c:pt idx="1">
                  <c:v>0.64863466402792169</c:v>
                </c:pt>
                <c:pt idx="2">
                  <c:v>0.6613098886279124</c:v>
                </c:pt>
                <c:pt idx="3">
                  <c:v>0.61744643212630834</c:v>
                </c:pt>
                <c:pt idx="4">
                  <c:v>0.64488300391189868</c:v>
                </c:pt>
                <c:pt idx="5">
                  <c:v>0.61466226845531258</c:v>
                </c:pt>
                <c:pt idx="6">
                  <c:v>0.59733957732780352</c:v>
                </c:pt>
              </c:numCache>
            </c:numRef>
          </c:val>
          <c:smooth val="0"/>
          <c:extLst>
            <c:ext xmlns:c16="http://schemas.microsoft.com/office/drawing/2014/chart" uri="{C3380CC4-5D6E-409C-BE32-E72D297353CC}">
              <c16:uniqueId val="{00000001-16B8-4580-9963-08150B70E472}"/>
            </c:ext>
          </c:extLst>
        </c:ser>
        <c:dLbls>
          <c:showLegendKey val="0"/>
          <c:showVal val="0"/>
          <c:showCatName val="0"/>
          <c:showSerName val="0"/>
          <c:showPercent val="0"/>
          <c:showBubbleSize val="0"/>
        </c:dLbls>
        <c:marker val="1"/>
        <c:smooth val="0"/>
        <c:axId val="890686784"/>
        <c:axId val="890686304"/>
      </c:lineChart>
      <c:catAx>
        <c:axId val="8906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2944"/>
        <c:crosses val="autoZero"/>
        <c:auto val="1"/>
        <c:lblAlgn val="ctr"/>
        <c:lblOffset val="100"/>
        <c:noMultiLvlLbl val="0"/>
      </c:catAx>
      <c:valAx>
        <c:axId val="89068294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2464"/>
        <c:crosses val="autoZero"/>
        <c:crossBetween val="between"/>
      </c:valAx>
      <c:valAx>
        <c:axId val="89068630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6784"/>
        <c:crosses val="max"/>
        <c:crossBetween val="between"/>
      </c:valAx>
      <c:catAx>
        <c:axId val="890686784"/>
        <c:scaling>
          <c:orientation val="minMax"/>
        </c:scaling>
        <c:delete val="1"/>
        <c:axPos val="b"/>
        <c:numFmt formatCode="General" sourceLinked="1"/>
        <c:majorTickMark val="none"/>
        <c:minorTickMark val="none"/>
        <c:tickLblPos val="nextTo"/>
        <c:crossAx val="8906863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Calculation!$P$28:$P$34</c:f>
              <c:strCache>
                <c:ptCount val="7"/>
                <c:pt idx="0">
                  <c:v>monday</c:v>
                </c:pt>
                <c:pt idx="1">
                  <c:v>tuesday</c:v>
                </c:pt>
                <c:pt idx="2">
                  <c:v>wednesday</c:v>
                </c:pt>
                <c:pt idx="3">
                  <c:v>thursday</c:v>
                </c:pt>
                <c:pt idx="4">
                  <c:v>friday</c:v>
                </c:pt>
                <c:pt idx="5">
                  <c:v>saturday</c:v>
                </c:pt>
                <c:pt idx="6">
                  <c:v>sunday</c:v>
                </c:pt>
              </c:strCache>
            </c:strRef>
          </c:cat>
          <c:val>
            <c:numRef>
              <c:f>Calculation!$Q$28:$Q$34</c:f>
              <c:numCache>
                <c:formatCode>_-* #,##0\ [$₫-42A]_-;\-* #,##0\ [$₫-42A]_-;_-* "-"??\ [$₫-42A]_-;_-@_-</c:formatCode>
                <c:ptCount val="7"/>
                <c:pt idx="0">
                  <c:v>574395.35384141665</c:v>
                </c:pt>
                <c:pt idx="1">
                  <c:v>566677.97317126812</c:v>
                </c:pt>
                <c:pt idx="2">
                  <c:v>548130.62556417962</c:v>
                </c:pt>
                <c:pt idx="3">
                  <c:v>565615.07325951231</c:v>
                </c:pt>
                <c:pt idx="4">
                  <c:v>545569.06079896237</c:v>
                </c:pt>
                <c:pt idx="5">
                  <c:v>558934.88349414244</c:v>
                </c:pt>
                <c:pt idx="6">
                  <c:v>569180.82893708698</c:v>
                </c:pt>
              </c:numCache>
            </c:numRef>
          </c:val>
          <c:extLst>
            <c:ext xmlns:c16="http://schemas.microsoft.com/office/drawing/2014/chart" uri="{C3380CC4-5D6E-409C-BE32-E72D297353CC}">
              <c16:uniqueId val="{00000000-29EE-4378-8DD0-F0BBB74C220B}"/>
            </c:ext>
          </c:extLst>
        </c:ser>
        <c:dLbls>
          <c:showLegendKey val="0"/>
          <c:showVal val="0"/>
          <c:showCatName val="0"/>
          <c:showSerName val="0"/>
          <c:showPercent val="0"/>
          <c:showBubbleSize val="0"/>
        </c:dLbls>
        <c:gapWidth val="150"/>
        <c:axId val="890692064"/>
        <c:axId val="890692544"/>
      </c:barChart>
      <c:lineChart>
        <c:grouping val="standard"/>
        <c:varyColors val="0"/>
        <c:ser>
          <c:idx val="1"/>
          <c:order val="1"/>
          <c:spPr>
            <a:ln w="28575" cap="rnd">
              <a:solidFill>
                <a:schemeClr val="accent2"/>
              </a:solidFill>
              <a:round/>
            </a:ln>
            <a:effectLst/>
          </c:spPr>
          <c:marker>
            <c:symbol val="none"/>
          </c:marker>
          <c:cat>
            <c:strRef>
              <c:f>Calculation!$P$28:$P$34</c:f>
              <c:strCache>
                <c:ptCount val="7"/>
                <c:pt idx="0">
                  <c:v>monday</c:v>
                </c:pt>
                <c:pt idx="1">
                  <c:v>tuesday</c:v>
                </c:pt>
                <c:pt idx="2">
                  <c:v>wednesday</c:v>
                </c:pt>
                <c:pt idx="3">
                  <c:v>thursday</c:v>
                </c:pt>
                <c:pt idx="4">
                  <c:v>friday</c:v>
                </c:pt>
                <c:pt idx="5">
                  <c:v>saturday</c:v>
                </c:pt>
                <c:pt idx="6">
                  <c:v>sunday</c:v>
                </c:pt>
              </c:strCache>
            </c:strRef>
          </c:cat>
          <c:val>
            <c:numRef>
              <c:f>Calculation!$R$28:$R$34</c:f>
              <c:numCache>
                <c:formatCode>General</c:formatCode>
                <c:ptCount val="7"/>
                <c:pt idx="0">
                  <c:v>1.9016519982223796</c:v>
                </c:pt>
                <c:pt idx="1">
                  <c:v>1.8273402621143422</c:v>
                </c:pt>
                <c:pt idx="2">
                  <c:v>1.7892186975788873</c:v>
                </c:pt>
                <c:pt idx="3">
                  <c:v>1.8300411902193976</c:v>
                </c:pt>
                <c:pt idx="4">
                  <c:v>1.7819451497786634</c:v>
                </c:pt>
                <c:pt idx="5">
                  <c:v>1.8381153875496867</c:v>
                </c:pt>
                <c:pt idx="6">
                  <c:v>1.8347122251308678</c:v>
                </c:pt>
              </c:numCache>
            </c:numRef>
          </c:val>
          <c:smooth val="0"/>
          <c:extLst>
            <c:ext xmlns:c16="http://schemas.microsoft.com/office/drawing/2014/chart" uri="{C3380CC4-5D6E-409C-BE32-E72D297353CC}">
              <c16:uniqueId val="{00000001-29EE-4378-8DD0-F0BBB74C220B}"/>
            </c:ext>
          </c:extLst>
        </c:ser>
        <c:dLbls>
          <c:showLegendKey val="0"/>
          <c:showVal val="0"/>
          <c:showCatName val="0"/>
          <c:showSerName val="0"/>
          <c:showPercent val="0"/>
          <c:showBubbleSize val="0"/>
        </c:dLbls>
        <c:marker val="1"/>
        <c:smooth val="0"/>
        <c:axId val="890690144"/>
        <c:axId val="890693024"/>
      </c:lineChart>
      <c:catAx>
        <c:axId val="8906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92544"/>
        <c:crosses val="autoZero"/>
        <c:auto val="1"/>
        <c:lblAlgn val="ctr"/>
        <c:lblOffset val="100"/>
        <c:noMultiLvlLbl val="0"/>
      </c:catAx>
      <c:valAx>
        <c:axId val="89069254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92064"/>
        <c:crosses val="autoZero"/>
        <c:crossBetween val="between"/>
      </c:valAx>
      <c:valAx>
        <c:axId val="89069302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90144"/>
        <c:crosses val="max"/>
        <c:crossBetween val="between"/>
      </c:valAx>
      <c:catAx>
        <c:axId val="890690144"/>
        <c:scaling>
          <c:orientation val="minMax"/>
        </c:scaling>
        <c:delete val="1"/>
        <c:axPos val="b"/>
        <c:numFmt formatCode="General" sourceLinked="1"/>
        <c:majorTickMark val="none"/>
        <c:minorTickMark val="none"/>
        <c:tickLblPos val="nextTo"/>
        <c:crossAx val="890693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[Daily_Sales.xlsx]Calculation!Trafic&amp;CR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and Conversion Rate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Calculation!$C$20</c:f>
              <c:strCache>
                <c:ptCount val="1"/>
                <c:pt idx="0">
                  <c:v>Average of Traffic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Calculation!$A$21:$A$26</c:f>
              <c:strCache>
                <c:ptCount val="5"/>
                <c:pt idx="0">
                  <c:v>january</c:v>
                </c:pt>
                <c:pt idx="1">
                  <c:v>february</c:v>
                </c:pt>
                <c:pt idx="2">
                  <c:v>march</c:v>
                </c:pt>
                <c:pt idx="3">
                  <c:v>april</c:v>
                </c:pt>
                <c:pt idx="4">
                  <c:v>may</c:v>
                </c:pt>
              </c:strCache>
            </c:strRef>
          </c:cat>
          <c:val>
            <c:numRef>
              <c:f>Calculation!$C$21:$C$26</c:f>
              <c:numCache>
                <c:formatCode>_-* #,##0_-;\-* #,##0_-;_-* "-"??_-;_-@_-</c:formatCode>
                <c:ptCount val="5"/>
                <c:pt idx="0">
                  <c:v>316.96428571428572</c:v>
                </c:pt>
                <c:pt idx="1">
                  <c:v>112.95454545454545</c:v>
                </c:pt>
                <c:pt idx="2">
                  <c:v>93.032258064516128</c:v>
                </c:pt>
                <c:pt idx="3">
                  <c:v>102.46666666666667</c:v>
                </c:pt>
                <c:pt idx="4">
                  <c:v>93.34615384615384</c:v>
                </c:pt>
              </c:numCache>
            </c:numRef>
          </c:val>
          <c:smooth val="0"/>
          <c:extLst>
            <c:ext xmlns:c16="http://schemas.microsoft.com/office/drawing/2014/chart" uri="{C3380CC4-5D6E-409C-BE32-E72D297353CC}">
              <c16:uniqueId val="{00000000-CF7E-46C6-B75A-E183329E57CD}"/>
            </c:ext>
          </c:extLst>
        </c:ser>
        <c:dLbls>
          <c:dLblPos val="t"/>
          <c:showLegendKey val="0"/>
          <c:showVal val="1"/>
          <c:showCatName val="0"/>
          <c:showSerName val="0"/>
          <c:showPercent val="0"/>
          <c:showBubbleSize val="0"/>
        </c:dLbls>
        <c:marker val="1"/>
        <c:smooth val="0"/>
        <c:axId val="591070688"/>
        <c:axId val="591080288"/>
      </c:lineChart>
      <c:lineChart>
        <c:grouping val="stacked"/>
        <c:varyColors val="0"/>
        <c:ser>
          <c:idx val="0"/>
          <c:order val="0"/>
          <c:tx>
            <c:strRef>
              <c:f>Calculation!$B$20</c:f>
              <c:strCache>
                <c:ptCount val="1"/>
                <c:pt idx="0">
                  <c:v>Average of Conversion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Calculation!$A$21:$A$26</c:f>
              <c:strCache>
                <c:ptCount val="5"/>
                <c:pt idx="0">
                  <c:v>january</c:v>
                </c:pt>
                <c:pt idx="1">
                  <c:v>february</c:v>
                </c:pt>
                <c:pt idx="2">
                  <c:v>march</c:v>
                </c:pt>
                <c:pt idx="3">
                  <c:v>april</c:v>
                </c:pt>
                <c:pt idx="4">
                  <c:v>may</c:v>
                </c:pt>
              </c:strCache>
            </c:strRef>
          </c:cat>
          <c:val>
            <c:numRef>
              <c:f>Calculation!$B$21:$B$26</c:f>
              <c:numCache>
                <c:formatCode>0%</c:formatCode>
                <c:ptCount val="5"/>
                <c:pt idx="0">
                  <c:v>0.46169382423193378</c:v>
                </c:pt>
                <c:pt idx="1">
                  <c:v>0.69598308950624321</c:v>
                </c:pt>
                <c:pt idx="2">
                  <c:v>0.67330301187922548</c:v>
                </c:pt>
                <c:pt idx="3">
                  <c:v>0.632911802248738</c:v>
                </c:pt>
                <c:pt idx="4">
                  <c:v>0.70612134801832138</c:v>
                </c:pt>
              </c:numCache>
            </c:numRef>
          </c:val>
          <c:smooth val="0"/>
          <c:extLst>
            <c:ext xmlns:c16="http://schemas.microsoft.com/office/drawing/2014/chart" uri="{C3380CC4-5D6E-409C-BE32-E72D297353CC}">
              <c16:uniqueId val="{00000001-CF7E-46C6-B75A-E183329E57CD}"/>
            </c:ext>
          </c:extLst>
        </c:ser>
        <c:dLbls>
          <c:dLblPos val="t"/>
          <c:showLegendKey val="0"/>
          <c:showVal val="1"/>
          <c:showCatName val="0"/>
          <c:showSerName val="0"/>
          <c:showPercent val="0"/>
          <c:showBubbleSize val="0"/>
        </c:dLbls>
        <c:marker val="1"/>
        <c:smooth val="0"/>
        <c:axId val="591086048"/>
        <c:axId val="591069248"/>
      </c:lineChart>
      <c:catAx>
        <c:axId val="5910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80288"/>
        <c:crosses val="autoZero"/>
        <c:auto val="1"/>
        <c:lblAlgn val="ctr"/>
        <c:lblOffset val="100"/>
        <c:noMultiLvlLbl val="0"/>
      </c:catAx>
      <c:valAx>
        <c:axId val="59108028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70688"/>
        <c:crosses val="autoZero"/>
        <c:crossBetween val="between"/>
      </c:valAx>
      <c:valAx>
        <c:axId val="5910692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86048"/>
        <c:crosses val="max"/>
        <c:crossBetween val="between"/>
      </c:valAx>
      <c:catAx>
        <c:axId val="591086048"/>
        <c:scaling>
          <c:orientation val="minMax"/>
        </c:scaling>
        <c:delete val="1"/>
        <c:axPos val="b"/>
        <c:numFmt formatCode="General" sourceLinked="1"/>
        <c:majorTickMark val="out"/>
        <c:minorTickMark val="none"/>
        <c:tickLblPos val="nextTo"/>
        <c:crossAx val="5910692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[Daily_Sales.xlsx]Calculation!Rev&amp;Tar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ln w="28575" cap="rnd">
            <a:solidFill>
              <a:schemeClr val="accent1"/>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37040060198706E-2"/>
          <c:y val="0.34241315991093879"/>
          <c:w val="0.92873085311260473"/>
          <c:h val="0.52511995928218669"/>
        </c:manualLayout>
      </c:layout>
      <c:barChart>
        <c:barDir val="col"/>
        <c:grouping val="clustered"/>
        <c:varyColors val="0"/>
        <c:ser>
          <c:idx val="0"/>
          <c:order val="0"/>
          <c:tx>
            <c:strRef>
              <c:f>Calculation!$B$6</c:f>
              <c:strCache>
                <c:ptCount val="1"/>
                <c:pt idx="0">
                  <c:v>Sum of Revenue</c:v>
                </c:pt>
              </c:strCache>
            </c:strRef>
          </c:tx>
          <c:spPr>
            <a:solidFill>
              <a:schemeClr val="accent1"/>
            </a:solidFill>
            <a:ln>
              <a:noFill/>
            </a:ln>
            <a:effectLst/>
          </c:spPr>
          <c:invertIfNegative val="0"/>
          <c:cat>
            <c:strRef>
              <c:f>Calculation!$A$7:$A$12</c:f>
              <c:strCache>
                <c:ptCount val="5"/>
                <c:pt idx="0">
                  <c:v>january</c:v>
                </c:pt>
                <c:pt idx="1">
                  <c:v>february</c:v>
                </c:pt>
                <c:pt idx="2">
                  <c:v>march</c:v>
                </c:pt>
                <c:pt idx="3">
                  <c:v>april</c:v>
                </c:pt>
                <c:pt idx="4">
                  <c:v>may</c:v>
                </c:pt>
              </c:strCache>
            </c:strRef>
          </c:cat>
          <c:val>
            <c:numRef>
              <c:f>Calculation!$B$7:$B$12</c:f>
              <c:numCache>
                <c:formatCode>_-* #,##0\ _₫_-;\-* #,##0\ _₫_-;_-* "-"??\ _₫_-;_-@_-</c:formatCode>
                <c:ptCount val="5"/>
                <c:pt idx="0">
                  <c:v>2234860636.5</c:v>
                </c:pt>
                <c:pt idx="1">
                  <c:v>870543740.5</c:v>
                </c:pt>
                <c:pt idx="2">
                  <c:v>1107599299.9995999</c:v>
                </c:pt>
                <c:pt idx="3">
                  <c:v>1048046537.5</c:v>
                </c:pt>
                <c:pt idx="4">
                  <c:v>943372383.5</c:v>
                </c:pt>
              </c:numCache>
            </c:numRef>
          </c:val>
          <c:extLst>
            <c:ext xmlns:c16="http://schemas.microsoft.com/office/drawing/2014/chart" uri="{C3380CC4-5D6E-409C-BE32-E72D297353CC}">
              <c16:uniqueId val="{00000003-275C-4898-A096-5B4999001423}"/>
            </c:ext>
          </c:extLst>
        </c:ser>
        <c:dLbls>
          <c:showLegendKey val="0"/>
          <c:showVal val="0"/>
          <c:showCatName val="0"/>
          <c:showSerName val="0"/>
          <c:showPercent val="0"/>
          <c:showBubbleSize val="0"/>
        </c:dLbls>
        <c:gapWidth val="150"/>
        <c:axId val="591195008"/>
        <c:axId val="591191168"/>
      </c:barChart>
      <c:lineChart>
        <c:grouping val="standard"/>
        <c:varyColors val="0"/>
        <c:ser>
          <c:idx val="1"/>
          <c:order val="1"/>
          <c:tx>
            <c:strRef>
              <c:f>Calculation!$C$6</c:f>
              <c:strCache>
                <c:ptCount val="1"/>
                <c:pt idx="0">
                  <c:v>Sum of Target by Day</c:v>
                </c:pt>
              </c:strCache>
            </c:strRef>
          </c:tx>
          <c:spPr>
            <a:ln w="28575" cap="rnd">
              <a:solidFill>
                <a:schemeClr val="accent2"/>
              </a:solidFill>
              <a:round/>
            </a:ln>
            <a:effectLst/>
          </c:spPr>
          <c:marker>
            <c:symbol val="diamond"/>
            <c:size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chemeClr val="accent1"/>
                </a:solidFill>
              </a:ln>
              <a:effectLst/>
            </c:spPr>
          </c:marker>
          <c:cat>
            <c:strRef>
              <c:f>Calculation!$A$7:$A$12</c:f>
              <c:strCache>
                <c:ptCount val="5"/>
                <c:pt idx="0">
                  <c:v>january</c:v>
                </c:pt>
                <c:pt idx="1">
                  <c:v>february</c:v>
                </c:pt>
                <c:pt idx="2">
                  <c:v>march</c:v>
                </c:pt>
                <c:pt idx="3">
                  <c:v>april</c:v>
                </c:pt>
                <c:pt idx="4">
                  <c:v>may</c:v>
                </c:pt>
              </c:strCache>
            </c:strRef>
          </c:cat>
          <c:val>
            <c:numRef>
              <c:f>Calculation!$C$7:$C$12</c:f>
              <c:numCache>
                <c:formatCode>_-* #,##0\ _₫_-;\-* #,##0\ _₫_-;_-* "-"??\ _₫_-;_-@_-</c:formatCode>
                <c:ptCount val="5"/>
                <c:pt idx="0">
                  <c:v>1513400000</c:v>
                </c:pt>
                <c:pt idx="1">
                  <c:v>844000000</c:v>
                </c:pt>
                <c:pt idx="2">
                  <c:v>1025000000</c:v>
                </c:pt>
                <c:pt idx="3">
                  <c:v>1086000000</c:v>
                </c:pt>
                <c:pt idx="4">
                  <c:v>921000000</c:v>
                </c:pt>
              </c:numCache>
            </c:numRef>
          </c:val>
          <c:smooth val="0"/>
          <c:extLst>
            <c:ext xmlns:c16="http://schemas.microsoft.com/office/drawing/2014/chart" uri="{C3380CC4-5D6E-409C-BE32-E72D297353CC}">
              <c16:uniqueId val="{00000004-275C-4898-A096-5B4999001423}"/>
            </c:ext>
          </c:extLst>
        </c:ser>
        <c:dLbls>
          <c:showLegendKey val="0"/>
          <c:showVal val="0"/>
          <c:showCatName val="0"/>
          <c:showSerName val="0"/>
          <c:showPercent val="0"/>
          <c:showBubbleSize val="0"/>
        </c:dLbls>
        <c:marker val="1"/>
        <c:smooth val="0"/>
        <c:axId val="591195008"/>
        <c:axId val="591191168"/>
      </c:lineChart>
      <c:catAx>
        <c:axId val="591195008"/>
        <c:scaling>
          <c:orientation val="minMax"/>
        </c:scaling>
        <c:delete val="1"/>
        <c:axPos val="b"/>
        <c:numFmt formatCode="General" sourceLinked="1"/>
        <c:majorTickMark val="out"/>
        <c:minorTickMark val="none"/>
        <c:tickLblPos val="nextTo"/>
        <c:crossAx val="591191168"/>
        <c:crosses val="autoZero"/>
        <c:auto val="1"/>
        <c:lblAlgn val="ctr"/>
        <c:lblOffset val="100"/>
        <c:noMultiLvlLbl val="0"/>
      </c:catAx>
      <c:valAx>
        <c:axId val="591191168"/>
        <c:scaling>
          <c:orientation val="minMax"/>
        </c:scaling>
        <c:delete val="1"/>
        <c:axPos val="l"/>
        <c:numFmt formatCode="_-* #,##0\ _₫_-;\-* #,##0\ _₫_-;_-* &quot;-&quot;??\ _₫_-;_-@_-" sourceLinked="1"/>
        <c:majorTickMark val="out"/>
        <c:minorTickMark val="none"/>
        <c:tickLblPos val="nextTo"/>
        <c:crossAx val="591195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[Daily_Sales.xlsx]Calculation!WeeklyRev</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Weekly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Calculation!$B$37</c:f>
              <c:strCache>
                <c:ptCount val="1"/>
                <c:pt idx="0">
                  <c:v>Total</c:v>
                </c:pt>
              </c:strCache>
            </c:strRef>
          </c:tx>
          <c:spPr>
            <a:ln w="28575" cap="rnd">
              <a:solidFill>
                <a:schemeClr val="accent1"/>
              </a:solidFill>
              <a:round/>
            </a:ln>
            <a:effectLst/>
          </c:spPr>
          <c:marker>
            <c:symbol val="diamond"/>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cat>
            <c:strRef>
              <c:f>Calculation!$A$38:$A$59</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Calculation!$B$38:$B$59</c:f>
              <c:numCache>
                <c:formatCode>_-* #,##0\ [$₫-42A]_-;\-* #,##0\ [$₫-42A]_-;_-* "-"??\ [$₫-42A]_-;_-@_-</c:formatCode>
                <c:ptCount val="21"/>
                <c:pt idx="0">
                  <c:v>469221835</c:v>
                </c:pt>
                <c:pt idx="1">
                  <c:v>594041107.5</c:v>
                </c:pt>
                <c:pt idx="2">
                  <c:v>571003131.5</c:v>
                </c:pt>
                <c:pt idx="3">
                  <c:v>600594562.5</c:v>
                </c:pt>
                <c:pt idx="4">
                  <c:v>292957759</c:v>
                </c:pt>
                <c:pt idx="5">
                  <c:v>179739719.5</c:v>
                </c:pt>
                <c:pt idx="6">
                  <c:v>76313676</c:v>
                </c:pt>
                <c:pt idx="7">
                  <c:v>204446785.5</c:v>
                </c:pt>
                <c:pt idx="8">
                  <c:v>226597537.5</c:v>
                </c:pt>
                <c:pt idx="9">
                  <c:v>264966056.99970001</c:v>
                </c:pt>
                <c:pt idx="10">
                  <c:v>280197702.00010002</c:v>
                </c:pt>
                <c:pt idx="11">
                  <c:v>216598434</c:v>
                </c:pt>
                <c:pt idx="12">
                  <c:v>236325369.9998</c:v>
                </c:pt>
                <c:pt idx="13">
                  <c:v>227506372</c:v>
                </c:pt>
                <c:pt idx="14">
                  <c:v>258014290</c:v>
                </c:pt>
                <c:pt idx="15">
                  <c:v>318821398.5</c:v>
                </c:pt>
                <c:pt idx="16">
                  <c:v>199427997</c:v>
                </c:pt>
                <c:pt idx="17">
                  <c:v>197758399</c:v>
                </c:pt>
                <c:pt idx="18">
                  <c:v>221487984</c:v>
                </c:pt>
                <c:pt idx="19">
                  <c:v>289661174</c:v>
                </c:pt>
                <c:pt idx="20">
                  <c:v>278741306.5</c:v>
                </c:pt>
              </c:numCache>
            </c:numRef>
          </c:val>
          <c:smooth val="0"/>
          <c:extLst>
            <c:ext xmlns:c16="http://schemas.microsoft.com/office/drawing/2014/chart" uri="{C3380CC4-5D6E-409C-BE32-E72D297353CC}">
              <c16:uniqueId val="{00000000-C707-421D-ABE0-38C4B6BB2446}"/>
            </c:ext>
          </c:extLst>
        </c:ser>
        <c:dLbls>
          <c:showLegendKey val="0"/>
          <c:showVal val="0"/>
          <c:showCatName val="0"/>
          <c:showSerName val="0"/>
          <c:showPercent val="0"/>
          <c:showBubbleSize val="0"/>
        </c:dLbls>
        <c:marker val="1"/>
        <c:smooth val="0"/>
        <c:axId val="583133152"/>
        <c:axId val="583141312"/>
      </c:lineChart>
      <c:catAx>
        <c:axId val="583133152"/>
        <c:scaling>
          <c:orientation val="minMax"/>
        </c:scaling>
        <c:delete val="1"/>
        <c:axPos val="b"/>
        <c:numFmt formatCode="General" sourceLinked="1"/>
        <c:majorTickMark val="none"/>
        <c:minorTickMark val="none"/>
        <c:tickLblPos val="nextTo"/>
        <c:crossAx val="583141312"/>
        <c:crosses val="autoZero"/>
        <c:auto val="1"/>
        <c:lblAlgn val="ctr"/>
        <c:lblOffset val="100"/>
        <c:noMultiLvlLbl val="0"/>
      </c:catAx>
      <c:valAx>
        <c:axId val="583141312"/>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APT and UPT by Weekday</a:t>
            </a:r>
          </a:p>
        </c:rich>
      </c:tx>
      <c:layout>
        <c:manualLayout>
          <c:xMode val="edge"/>
          <c:yMode val="edge"/>
          <c:x val="0.3214228043742423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1233303899719"/>
          <c:y val="0.2960375419781115"/>
          <c:w val="0.78802209783238542"/>
          <c:h val="0.54775775647340386"/>
        </c:manualLayout>
      </c:layout>
      <c:barChart>
        <c:barDir val="col"/>
        <c:grouping val="clustered"/>
        <c:varyColors val="0"/>
        <c:ser>
          <c:idx val="0"/>
          <c:order val="0"/>
          <c:tx>
            <c:strRef>
              <c:f>Calculation!$M$27</c:f>
              <c:strCache>
                <c:ptCount val="1"/>
                <c:pt idx="0">
                  <c:v>Average of APT</c:v>
                </c:pt>
              </c:strCache>
            </c:strRef>
          </c:tx>
          <c:spPr>
            <a:solidFill>
              <a:schemeClr val="accent1"/>
            </a:solidFill>
            <a:ln>
              <a:noFill/>
            </a:ln>
            <a:effectLst/>
          </c:spPr>
          <c:invertIfNegative val="0"/>
          <c:cat>
            <c:strRef>
              <c:f>Calculation!$L$28:$L$35</c:f>
              <c:strCache>
                <c:ptCount val="7"/>
                <c:pt idx="0">
                  <c:v>monday</c:v>
                </c:pt>
                <c:pt idx="1">
                  <c:v>tuesday</c:v>
                </c:pt>
                <c:pt idx="2">
                  <c:v>wednesday</c:v>
                </c:pt>
                <c:pt idx="3">
                  <c:v>thursday</c:v>
                </c:pt>
                <c:pt idx="4">
                  <c:v>friday</c:v>
                </c:pt>
                <c:pt idx="5">
                  <c:v>saturday</c:v>
                </c:pt>
                <c:pt idx="6">
                  <c:v>sunday</c:v>
                </c:pt>
              </c:strCache>
            </c:strRef>
          </c:cat>
          <c:val>
            <c:numRef>
              <c:f>Calculation!$M$28:$M$35</c:f>
              <c:numCache>
                <c:formatCode>_-* #,##0\ [$₫-42A]_-;\-* #,##0\ [$₫-42A]_-;_-* "-"??\ [$₫-42A]_-;_-@_-</c:formatCode>
                <c:ptCount val="7"/>
                <c:pt idx="0">
                  <c:v>574395.35384141665</c:v>
                </c:pt>
                <c:pt idx="1">
                  <c:v>566677.97317126812</c:v>
                </c:pt>
                <c:pt idx="2">
                  <c:v>548130.62556417962</c:v>
                </c:pt>
                <c:pt idx="3">
                  <c:v>565615.07325951231</c:v>
                </c:pt>
                <c:pt idx="4">
                  <c:v>545569.06079896237</c:v>
                </c:pt>
                <c:pt idx="5">
                  <c:v>558934.88349414244</c:v>
                </c:pt>
                <c:pt idx="6">
                  <c:v>569180.82893708698</c:v>
                </c:pt>
              </c:numCache>
            </c:numRef>
          </c:val>
          <c:extLst>
            <c:ext xmlns:c16="http://schemas.microsoft.com/office/drawing/2014/chart" uri="{C3380CC4-5D6E-409C-BE32-E72D297353CC}">
              <c16:uniqueId val="{00000000-3156-452E-8650-06DCF994455A}"/>
            </c:ext>
          </c:extLst>
        </c:ser>
        <c:dLbls>
          <c:showLegendKey val="0"/>
          <c:showVal val="0"/>
          <c:showCatName val="0"/>
          <c:showSerName val="0"/>
          <c:showPercent val="0"/>
          <c:showBubbleSize val="0"/>
        </c:dLbls>
        <c:gapWidth val="150"/>
        <c:axId val="890650304"/>
        <c:axId val="890652224"/>
      </c:barChart>
      <c:lineChart>
        <c:grouping val="standard"/>
        <c:varyColors val="0"/>
        <c:ser>
          <c:idx val="1"/>
          <c:order val="1"/>
          <c:tx>
            <c:strRef>
              <c:f>Calculation!$N$27</c:f>
              <c:strCache>
                <c:ptCount val="1"/>
                <c:pt idx="0">
                  <c:v>Average of UPT</c:v>
                </c:pt>
              </c:strCache>
            </c:strRef>
          </c:tx>
          <c:spPr>
            <a:ln w="28575" cap="rnd">
              <a:solidFill>
                <a:schemeClr val="accent2"/>
              </a:solidFill>
              <a:round/>
            </a:ln>
            <a:effectLst/>
          </c:spPr>
          <c:marker>
            <c:symbol val="none"/>
          </c:marker>
          <c:cat>
            <c:strRef>
              <c:f>Calculation!$L$28:$L$35</c:f>
              <c:strCache>
                <c:ptCount val="7"/>
                <c:pt idx="0">
                  <c:v>monday</c:v>
                </c:pt>
                <c:pt idx="1">
                  <c:v>tuesday</c:v>
                </c:pt>
                <c:pt idx="2">
                  <c:v>wednesday</c:v>
                </c:pt>
                <c:pt idx="3">
                  <c:v>thursday</c:v>
                </c:pt>
                <c:pt idx="4">
                  <c:v>friday</c:v>
                </c:pt>
                <c:pt idx="5">
                  <c:v>saturday</c:v>
                </c:pt>
                <c:pt idx="6">
                  <c:v>sunday</c:v>
                </c:pt>
              </c:strCache>
            </c:strRef>
          </c:cat>
          <c:val>
            <c:numRef>
              <c:f>Calculation!$N$28:$N$35</c:f>
              <c:numCache>
                <c:formatCode>General</c:formatCode>
                <c:ptCount val="7"/>
                <c:pt idx="0">
                  <c:v>1.9016519982223796</c:v>
                </c:pt>
                <c:pt idx="1">
                  <c:v>1.8273402621143422</c:v>
                </c:pt>
                <c:pt idx="2">
                  <c:v>1.7892186975788873</c:v>
                </c:pt>
                <c:pt idx="3">
                  <c:v>1.8300411902193976</c:v>
                </c:pt>
                <c:pt idx="4">
                  <c:v>1.7819451497786634</c:v>
                </c:pt>
                <c:pt idx="5">
                  <c:v>1.8381153875496867</c:v>
                </c:pt>
                <c:pt idx="6">
                  <c:v>1.8347122251308678</c:v>
                </c:pt>
              </c:numCache>
            </c:numRef>
          </c:val>
          <c:smooth val="0"/>
          <c:extLst>
            <c:ext xmlns:c16="http://schemas.microsoft.com/office/drawing/2014/chart" uri="{C3380CC4-5D6E-409C-BE32-E72D297353CC}">
              <c16:uniqueId val="{00000001-3156-452E-8650-06DCF994455A}"/>
            </c:ext>
          </c:extLst>
        </c:ser>
        <c:dLbls>
          <c:showLegendKey val="0"/>
          <c:showVal val="0"/>
          <c:showCatName val="0"/>
          <c:showSerName val="0"/>
          <c:showPercent val="0"/>
          <c:showBubbleSize val="0"/>
        </c:dLbls>
        <c:marker val="1"/>
        <c:smooth val="0"/>
        <c:axId val="890631584"/>
        <c:axId val="890629184"/>
      </c:lineChart>
      <c:catAx>
        <c:axId val="8906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52224"/>
        <c:crosses val="autoZero"/>
        <c:auto val="1"/>
        <c:lblAlgn val="ctr"/>
        <c:lblOffset val="100"/>
        <c:noMultiLvlLbl val="0"/>
      </c:catAx>
      <c:valAx>
        <c:axId val="89065222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50304"/>
        <c:crosses val="autoZero"/>
        <c:crossBetween val="between"/>
      </c:valAx>
      <c:valAx>
        <c:axId val="8906291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31584"/>
        <c:crosses val="max"/>
        <c:crossBetween val="between"/>
      </c:valAx>
      <c:catAx>
        <c:axId val="890631584"/>
        <c:scaling>
          <c:orientation val="minMax"/>
        </c:scaling>
        <c:delete val="1"/>
        <c:axPos val="b"/>
        <c:numFmt formatCode="General" sourceLinked="1"/>
        <c:majorTickMark val="out"/>
        <c:minorTickMark val="none"/>
        <c:tickLblPos val="nextTo"/>
        <c:crossAx val="890629184"/>
        <c:crosses val="autoZero"/>
        <c:auto val="1"/>
        <c:lblAlgn val="ctr"/>
        <c:lblOffset val="100"/>
        <c:noMultiLvlLbl val="0"/>
      </c:catAx>
      <c:spPr>
        <a:noFill/>
        <a:ln>
          <a:noFill/>
        </a:ln>
        <a:effectLst/>
      </c:spPr>
    </c:plotArea>
    <c:legend>
      <c:legendPos val="t"/>
      <c:layout>
        <c:manualLayout>
          <c:xMode val="edge"/>
          <c:yMode val="edge"/>
          <c:x val="0.26425037765190135"/>
          <c:y val="0.14200875668442112"/>
          <c:w val="0.47149924469619736"/>
          <c:h val="0.113628001030697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[Daily_Sales.xlsx]Calculation!PivotTable5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Revernue and Conversion</a:t>
            </a:r>
            <a:r>
              <a:rPr lang="en-US" baseline="0"/>
              <a:t> Rate by Weekday</a:t>
            </a:r>
            <a:endParaRPr lang="en-US"/>
          </a:p>
        </c:rich>
      </c:tx>
      <c:layout>
        <c:manualLayout>
          <c:xMode val="edge"/>
          <c:yMode val="edge"/>
          <c:x val="0.23341508801455849"/>
          <c:y val="1.8947268698585802E-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2872464268482"/>
          <c:y val="0.28130718636864349"/>
          <c:w val="0.75555012592897519"/>
          <c:h val="0.5631865333243955"/>
        </c:manualLayout>
      </c:layout>
      <c:barChart>
        <c:barDir val="col"/>
        <c:grouping val="clustered"/>
        <c:varyColors val="0"/>
        <c:ser>
          <c:idx val="0"/>
          <c:order val="0"/>
          <c:tx>
            <c:strRef>
              <c:f>Calculation!$M$1</c:f>
              <c:strCache>
                <c:ptCount val="1"/>
                <c:pt idx="0">
                  <c:v>Average of Revenue</c:v>
                </c:pt>
              </c:strCache>
            </c:strRef>
          </c:tx>
          <c:spPr>
            <a:solidFill>
              <a:schemeClr val="accent1"/>
            </a:solidFill>
            <a:ln>
              <a:noFill/>
            </a:ln>
            <a:effectLst/>
          </c:spPr>
          <c:invertIfNegative val="0"/>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Calculation!$M$2:$M$9</c:f>
              <c:numCache>
                <c:formatCode>_-* #,##0\ [$₫-42A]_-;\-* #,##0\ [$₫-42A]_-;_-* "-"??\ [$₫-42A]_-;_-@_-</c:formatCode>
                <c:ptCount val="7"/>
                <c:pt idx="0">
                  <c:v>35078917.921031572</c:v>
                </c:pt>
                <c:pt idx="1">
                  <c:v>38056343.499989472</c:v>
                </c:pt>
                <c:pt idx="2">
                  <c:v>40302823.71052105</c:v>
                </c:pt>
                <c:pt idx="3">
                  <c:v>47507972.225024998</c:v>
                </c:pt>
                <c:pt idx="4">
                  <c:v>45162796.77499</c:v>
                </c:pt>
                <c:pt idx="5">
                  <c:v>55290059.475000001</c:v>
                </c:pt>
                <c:pt idx="6">
                  <c:v>54494120.549999997</c:v>
                </c:pt>
              </c:numCache>
            </c:numRef>
          </c:val>
          <c:extLst>
            <c:ext xmlns:c16="http://schemas.microsoft.com/office/drawing/2014/chart" uri="{C3380CC4-5D6E-409C-BE32-E72D297353CC}">
              <c16:uniqueId val="{00000000-7A55-422A-9642-5790D9D4C942}"/>
            </c:ext>
          </c:extLst>
        </c:ser>
        <c:dLbls>
          <c:showLegendKey val="0"/>
          <c:showVal val="0"/>
          <c:showCatName val="0"/>
          <c:showSerName val="0"/>
          <c:showPercent val="0"/>
          <c:showBubbleSize val="0"/>
        </c:dLbls>
        <c:gapWidth val="150"/>
        <c:axId val="890682464"/>
        <c:axId val="890682944"/>
      </c:barChart>
      <c:lineChart>
        <c:grouping val="standard"/>
        <c:varyColors val="0"/>
        <c:ser>
          <c:idx val="1"/>
          <c:order val="1"/>
          <c:tx>
            <c:strRef>
              <c:f>Calculation!$N$1</c:f>
              <c:strCache>
                <c:ptCount val="1"/>
                <c:pt idx="0">
                  <c:v>Average of Conversion Rate</c:v>
                </c:pt>
              </c:strCache>
            </c:strRef>
          </c:tx>
          <c:spPr>
            <a:ln w="28575" cap="rnd">
              <a:solidFill>
                <a:schemeClr val="accent2"/>
              </a:solidFill>
              <a:round/>
            </a:ln>
            <a:effectLst/>
          </c:spPr>
          <c:marker>
            <c:symbol val="none"/>
          </c:marker>
          <c:cat>
            <c:strRef>
              <c:f>Calculation!$L$2:$L$9</c:f>
              <c:strCache>
                <c:ptCount val="7"/>
                <c:pt idx="0">
                  <c:v>monday</c:v>
                </c:pt>
                <c:pt idx="1">
                  <c:v>tuesday</c:v>
                </c:pt>
                <c:pt idx="2">
                  <c:v>wednesday</c:v>
                </c:pt>
                <c:pt idx="3">
                  <c:v>thursday</c:v>
                </c:pt>
                <c:pt idx="4">
                  <c:v>friday</c:v>
                </c:pt>
                <c:pt idx="5">
                  <c:v>saturday</c:v>
                </c:pt>
                <c:pt idx="6">
                  <c:v>sunday</c:v>
                </c:pt>
              </c:strCache>
            </c:strRef>
          </c:cat>
          <c:val>
            <c:numRef>
              <c:f>Calculation!$N$2:$N$9</c:f>
              <c:numCache>
                <c:formatCode>0.00%</c:formatCode>
                <c:ptCount val="7"/>
                <c:pt idx="0">
                  <c:v>0.63591502078624496</c:v>
                </c:pt>
                <c:pt idx="1">
                  <c:v>0.64863466402792169</c:v>
                </c:pt>
                <c:pt idx="2">
                  <c:v>0.6613098886279124</c:v>
                </c:pt>
                <c:pt idx="3">
                  <c:v>0.61744643212630834</c:v>
                </c:pt>
                <c:pt idx="4">
                  <c:v>0.64488300391189868</c:v>
                </c:pt>
                <c:pt idx="5">
                  <c:v>0.61466226845531258</c:v>
                </c:pt>
                <c:pt idx="6">
                  <c:v>0.59733957732780352</c:v>
                </c:pt>
              </c:numCache>
            </c:numRef>
          </c:val>
          <c:smooth val="0"/>
          <c:extLst>
            <c:ext xmlns:c16="http://schemas.microsoft.com/office/drawing/2014/chart" uri="{C3380CC4-5D6E-409C-BE32-E72D297353CC}">
              <c16:uniqueId val="{00000001-7A55-422A-9642-5790D9D4C942}"/>
            </c:ext>
          </c:extLst>
        </c:ser>
        <c:dLbls>
          <c:showLegendKey val="0"/>
          <c:showVal val="0"/>
          <c:showCatName val="0"/>
          <c:showSerName val="0"/>
          <c:showPercent val="0"/>
          <c:showBubbleSize val="0"/>
        </c:dLbls>
        <c:marker val="1"/>
        <c:smooth val="0"/>
        <c:axId val="890686784"/>
        <c:axId val="890686304"/>
      </c:lineChart>
      <c:catAx>
        <c:axId val="8906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2944"/>
        <c:crosses val="autoZero"/>
        <c:auto val="1"/>
        <c:lblAlgn val="ctr"/>
        <c:lblOffset val="100"/>
        <c:noMultiLvlLbl val="0"/>
      </c:catAx>
      <c:valAx>
        <c:axId val="890682944"/>
        <c:scaling>
          <c:orientation val="minMax"/>
        </c:scaling>
        <c:delete val="0"/>
        <c:axPos val="l"/>
        <c:majorGridlines>
          <c:spPr>
            <a:ln w="9525" cap="flat" cmpd="sng" algn="ctr">
              <a:solidFill>
                <a:schemeClr val="tx1">
                  <a:lumMod val="15000"/>
                  <a:lumOff val="85000"/>
                </a:schemeClr>
              </a:solidFill>
              <a:round/>
            </a:ln>
            <a:effectLst/>
          </c:spPr>
        </c:majorGridlines>
        <c:numFmt formatCode="_-* #,##0\ [$₫-42A]_-;\-* #,##0\ [$₫-42A]_-;_-* &quot;-&quot;??\ [$₫-42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2464"/>
        <c:crosses val="autoZero"/>
        <c:crossBetween val="between"/>
      </c:valAx>
      <c:valAx>
        <c:axId val="89068630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686784"/>
        <c:crosses val="max"/>
        <c:crossBetween val="between"/>
      </c:valAx>
      <c:catAx>
        <c:axId val="890686784"/>
        <c:scaling>
          <c:orientation val="minMax"/>
        </c:scaling>
        <c:delete val="1"/>
        <c:axPos val="b"/>
        <c:numFmt formatCode="General" sourceLinked="1"/>
        <c:majorTickMark val="none"/>
        <c:minorTickMark val="none"/>
        <c:tickLblPos val="nextTo"/>
        <c:crossAx val="890686304"/>
        <c:crosses val="autoZero"/>
        <c:auto val="1"/>
        <c:lblAlgn val="ctr"/>
        <c:lblOffset val="100"/>
        <c:noMultiLvlLbl val="0"/>
      </c:catAx>
      <c:spPr>
        <a:noFill/>
        <a:ln>
          <a:noFill/>
        </a:ln>
        <a:effectLst/>
      </c:spPr>
    </c:plotArea>
    <c:legend>
      <c:legendPos val="t"/>
      <c:layout>
        <c:manualLayout>
          <c:xMode val="edge"/>
          <c:yMode val="edge"/>
          <c:x val="0.20198865975274544"/>
          <c:y val="0.14137380824069595"/>
          <c:w val="0.60051965067435076"/>
          <c:h val="0.11311994839998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321468</xdr:colOff>
      <xdr:row>4</xdr:row>
      <xdr:rowOff>123825</xdr:rowOff>
    </xdr:from>
    <xdr:to>
      <xdr:col>9</xdr:col>
      <xdr:colOff>381000</xdr:colOff>
      <xdr:row>16</xdr:row>
      <xdr:rowOff>176213</xdr:rowOff>
    </xdr:to>
    <xdr:graphicFrame macro="">
      <xdr:nvGraphicFramePr>
        <xdr:cNvPr id="2" name="Chart 1">
          <a:extLst>
            <a:ext uri="{FF2B5EF4-FFF2-40B4-BE49-F238E27FC236}">
              <a16:creationId xmlns:a16="http://schemas.microsoft.com/office/drawing/2014/main" id="{76F52597-EFA3-DABE-2CB1-00C203E86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311943</xdr:colOff>
      <xdr:row>17</xdr:row>
      <xdr:rowOff>128587</xdr:rowOff>
    </xdr:from>
    <xdr:to>
      <xdr:col>9</xdr:col>
      <xdr:colOff>397668</xdr:colOff>
      <xdr:row>32</xdr:row>
      <xdr:rowOff>157162</xdr:rowOff>
    </xdr:to>
    <xdr:graphicFrame macro="">
      <xdr:nvGraphicFramePr>
        <xdr:cNvPr id="3" name="Chart 2">
          <a:extLst>
            <a:ext uri="{FF2B5EF4-FFF2-40B4-BE49-F238E27FC236}">
              <a16:creationId xmlns:a16="http://schemas.microsoft.com/office/drawing/2014/main" id="{33169D1D-F579-3B89-C81C-959AB35B3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183355</xdr:colOff>
      <xdr:row>9</xdr:row>
      <xdr:rowOff>123824</xdr:rowOff>
    </xdr:from>
    <xdr:to>
      <xdr:col>15</xdr:col>
      <xdr:colOff>481012</xdr:colOff>
      <xdr:row>24</xdr:row>
      <xdr:rowOff>152399</xdr:rowOff>
    </xdr:to>
    <xdr:graphicFrame macro="">
      <xdr:nvGraphicFramePr>
        <xdr:cNvPr id="5" name="Chart 4">
          <a:extLst>
            <a:ext uri="{FF2B5EF4-FFF2-40B4-BE49-F238E27FC236}">
              <a16:creationId xmlns:a16="http://schemas.microsoft.com/office/drawing/2014/main" id="{C4B17210-023B-DAFA-5F85-BB274462F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802479</xdr:colOff>
      <xdr:row>35</xdr:row>
      <xdr:rowOff>14287</xdr:rowOff>
    </xdr:from>
    <xdr:to>
      <xdr:col>7</xdr:col>
      <xdr:colOff>1042988</xdr:colOff>
      <xdr:row>53</xdr:row>
      <xdr:rowOff>66675</xdr:rowOff>
    </xdr:to>
    <xdr:graphicFrame macro="">
      <xdr:nvGraphicFramePr>
        <xdr:cNvPr id="6" name="Chart 5">
          <a:extLst>
            <a:ext uri="{FF2B5EF4-FFF2-40B4-BE49-F238E27FC236}">
              <a16:creationId xmlns:a16="http://schemas.microsoft.com/office/drawing/2014/main" id="{D6B445BE-3C38-14B8-E568-61BA405AB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478630</xdr:colOff>
      <xdr:row>36</xdr:row>
      <xdr:rowOff>128587</xdr:rowOff>
    </xdr:from>
    <xdr:to>
      <xdr:col>15</xdr:col>
      <xdr:colOff>145255</xdr:colOff>
      <xdr:row>51</xdr:row>
      <xdr:rowOff>157162</xdr:rowOff>
    </xdr:to>
    <xdr:graphicFrame macro="">
      <xdr:nvGraphicFramePr>
        <xdr:cNvPr id="7" name="Chart 6">
          <a:extLst>
            <a:ext uri="{FF2B5EF4-FFF2-40B4-BE49-F238E27FC236}">
              <a16:creationId xmlns:a16="http://schemas.microsoft.com/office/drawing/2014/main" id="{635136FC-8F8D-A59C-FC29-1C4FA8A52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978692</xdr:colOff>
      <xdr:row>9</xdr:row>
      <xdr:rowOff>157163</xdr:rowOff>
    </xdr:from>
    <xdr:to>
      <xdr:col>19</xdr:col>
      <xdr:colOff>692942</xdr:colOff>
      <xdr:row>25</xdr:row>
      <xdr:rowOff>4763</xdr:rowOff>
    </xdr:to>
    <xdr:graphicFrame macro="">
      <xdr:nvGraphicFramePr>
        <xdr:cNvPr id="8" name="Chart 7">
          <a:extLst>
            <a:ext uri="{FF2B5EF4-FFF2-40B4-BE49-F238E27FC236}">
              <a16:creationId xmlns:a16="http://schemas.microsoft.com/office/drawing/2014/main" id="{66952C1B-146C-3724-EA7B-9EF3EF15F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107155</xdr:colOff>
      <xdr:row>8</xdr:row>
      <xdr:rowOff>38100</xdr:rowOff>
    </xdr:from>
    <xdr:to>
      <xdr:col>18</xdr:col>
      <xdr:colOff>11905</xdr:colOff>
      <xdr:row>23</xdr:row>
      <xdr:rowOff>66675</xdr:rowOff>
    </xdr:to>
    <xdr:graphicFrame macro="">
      <xdr:nvGraphicFramePr>
        <xdr:cNvPr id="9" name="Chart 8">
          <a:extLst>
            <a:ext uri="{FF2B5EF4-FFF2-40B4-BE49-F238E27FC236}">
              <a16:creationId xmlns:a16="http://schemas.microsoft.com/office/drawing/2014/main" id="{52C9E46A-EF0A-C157-230B-E66AB542B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1250155</xdr:colOff>
      <xdr:row>26</xdr:row>
      <xdr:rowOff>85725</xdr:rowOff>
    </xdr:from>
    <xdr:to>
      <xdr:col>17</xdr:col>
      <xdr:colOff>531018</xdr:colOff>
      <xdr:row>41</xdr:row>
      <xdr:rowOff>114300</xdr:rowOff>
    </xdr:to>
    <xdr:graphicFrame macro="">
      <xdr:nvGraphicFramePr>
        <xdr:cNvPr id="10" name="Chart 9">
          <a:extLst>
            <a:ext uri="{FF2B5EF4-FFF2-40B4-BE49-F238E27FC236}">
              <a16:creationId xmlns:a16="http://schemas.microsoft.com/office/drawing/2014/main" id="{1F55D7E4-6296-AAD1-87C5-4F26DF4EC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146956</xdr:colOff>
      <xdr:row>1</xdr:row>
      <xdr:rowOff>18141</xdr:rowOff>
    </xdr:from>
    <xdr:to>
      <xdr:col>16383</xdr:col>
      <xdr:colOff>17424</xdr:colOff>
      <xdr:row>5</xdr:row>
      <xdr:rowOff>72570</xdr:rowOff>
    </xdr:to>
    <xdr:sp macro="" textlink="">
      <xdr:nvSpPr>
        <xdr:cNvPr id="2" name="Rectangle 1">
          <a:extLst>
            <a:ext uri="{FF2B5EF4-FFF2-40B4-BE49-F238E27FC236}">
              <a16:creationId xmlns:a16="http://schemas.microsoft.com/office/drawing/2014/main" id="{BB6A0D72-AB2D-4B4A-8FB2-17334A104B7D}"/>
            </a:ext>
          </a:extLst>
        </xdr:cNvPr>
        <xdr:cNvSpPr/>
      </xdr:nvSpPr>
      <xdr:spPr>
        <a:xfrm>
          <a:off x="2172796" y="501499"/>
          <a:ext cx="11264927" cy="822116"/>
        </a:xfrm>
        <a:prstGeom prst="rect">
          <a:avLst/>
        </a:prstGeom>
        <a:solidFill>
          <a:srgbClr val="DF002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b="1">
            <a:latin typeface="Times New Roman" panose="02020603050405020304" pitchFamily="18" charset="0"/>
            <a:cs typeface="Times New Roman" panose="02020603050405020304" pitchFamily="18" charset="0"/>
          </a:endParaRPr>
        </a:p>
      </xdr:txBody>
    </xdr:sp>
    <xdr:clientData/>
  </xdr:twoCellAnchor>
  <xdr:twoCellAnchor>
    <xdr:from>
      <xdr:col>3</xdr:col>
      <xdr:colOff>4234</xdr:colOff>
      <xdr:row>6</xdr:row>
      <xdr:rowOff>3627</xdr:rowOff>
    </xdr:from>
    <xdr:to>
      <xdr:col>4</xdr:col>
      <xdr:colOff>984250</xdr:colOff>
      <xdr:row>10</xdr:row>
      <xdr:rowOff>21167</xdr:rowOff>
    </xdr:to>
    <xdr:sp macro="" textlink="">
      <xdr:nvSpPr>
        <xdr:cNvPr id="3" name="Rectangle 2">
          <a:extLst>
            <a:ext uri="{FF2B5EF4-FFF2-40B4-BE49-F238E27FC236}">
              <a16:creationId xmlns:a16="http://schemas.microsoft.com/office/drawing/2014/main" id="{62303FEB-382E-402B-9314-D4CAA77A934C}"/>
            </a:ext>
          </a:extLst>
        </xdr:cNvPr>
        <xdr:cNvSpPr/>
      </xdr:nvSpPr>
      <xdr:spPr>
        <a:xfrm>
          <a:off x="2180697" y="1460952"/>
          <a:ext cx="2080153" cy="917653"/>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93133</xdr:colOff>
      <xdr:row>6</xdr:row>
      <xdr:rowOff>7860</xdr:rowOff>
    </xdr:from>
    <xdr:to>
      <xdr:col>6</xdr:col>
      <xdr:colOff>1015999</xdr:colOff>
      <xdr:row>10</xdr:row>
      <xdr:rowOff>25400</xdr:rowOff>
    </xdr:to>
    <xdr:sp macro="" textlink="">
      <xdr:nvSpPr>
        <xdr:cNvPr id="4" name="Rectangle 3">
          <a:extLst>
            <a:ext uri="{FF2B5EF4-FFF2-40B4-BE49-F238E27FC236}">
              <a16:creationId xmlns:a16="http://schemas.microsoft.com/office/drawing/2014/main" id="{8CE77CA8-9DC9-416B-A814-7F2F085CC524}"/>
            </a:ext>
          </a:extLst>
        </xdr:cNvPr>
        <xdr:cNvSpPr/>
      </xdr:nvSpPr>
      <xdr:spPr>
        <a:xfrm>
          <a:off x="4469871" y="1465185"/>
          <a:ext cx="2023003" cy="917653"/>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33867</xdr:colOff>
      <xdr:row>6</xdr:row>
      <xdr:rowOff>1510</xdr:rowOff>
    </xdr:from>
    <xdr:to>
      <xdr:col>9</xdr:col>
      <xdr:colOff>956733</xdr:colOff>
      <xdr:row>10</xdr:row>
      <xdr:rowOff>19050</xdr:rowOff>
    </xdr:to>
    <xdr:sp macro="" textlink="">
      <xdr:nvSpPr>
        <xdr:cNvPr id="5" name="Rectangle 4">
          <a:extLst>
            <a:ext uri="{FF2B5EF4-FFF2-40B4-BE49-F238E27FC236}">
              <a16:creationId xmlns:a16="http://schemas.microsoft.com/office/drawing/2014/main" id="{FD749AAB-B77F-42E9-A2CF-F9777D13EF28}"/>
            </a:ext>
          </a:extLst>
        </xdr:cNvPr>
        <xdr:cNvSpPr/>
      </xdr:nvSpPr>
      <xdr:spPr>
        <a:xfrm>
          <a:off x="6755282" y="1448232"/>
          <a:ext cx="2023633" cy="911632"/>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80433</xdr:colOff>
      <xdr:row>5</xdr:row>
      <xdr:rowOff>196243</xdr:rowOff>
    </xdr:from>
    <xdr:to>
      <xdr:col>11</xdr:col>
      <xdr:colOff>1003300</xdr:colOff>
      <xdr:row>10</xdr:row>
      <xdr:rowOff>12700</xdr:rowOff>
    </xdr:to>
    <xdr:sp macro="" textlink="">
      <xdr:nvSpPr>
        <xdr:cNvPr id="6" name="Rectangle 5">
          <a:extLst>
            <a:ext uri="{FF2B5EF4-FFF2-40B4-BE49-F238E27FC236}">
              <a16:creationId xmlns:a16="http://schemas.microsoft.com/office/drawing/2014/main" id="{B81DD2E1-C807-4D97-A59A-33FF11518DB4}"/>
            </a:ext>
          </a:extLst>
        </xdr:cNvPr>
        <xdr:cNvSpPr/>
      </xdr:nvSpPr>
      <xdr:spPr>
        <a:xfrm>
          <a:off x="8995833" y="1458306"/>
          <a:ext cx="1965855" cy="911832"/>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175556</xdr:colOff>
      <xdr:row>1</xdr:row>
      <xdr:rowOff>63498</xdr:rowOff>
    </xdr:from>
    <xdr:to>
      <xdr:col>1</xdr:col>
      <xdr:colOff>175556</xdr:colOff>
      <xdr:row>8</xdr:row>
      <xdr:rowOff>121177</xdr:rowOff>
    </xdr:to>
    <xdr:pic>
      <xdr:nvPicPr>
        <xdr:cNvPr id="8" name="Picture 7">
          <a:extLst>
            <a:ext uri="{FF2B5EF4-FFF2-40B4-BE49-F238E27FC236}">
              <a16:creationId xmlns:a16="http://schemas.microsoft.com/office/drawing/2014/main" id="{1B6B26F1-6A50-4DD6-9418-06EEFEA590EA}"/>
            </a:ext>
          </a:extLst>
        </xdr:cNvPr>
        <xdr:cNvPicPr>
          <a:picLocks noChangeAspect="1"/>
        </xdr:cNvPicPr>
      </xdr:nvPicPr>
      <xdr:blipFill>
        <a:blip xmlns:r="http://schemas.openxmlformats.org/officeDocument/2006/relationships" r:embed="rId1"/>
        <a:stretch>
          <a:fillRect/>
        </a:stretch>
      </xdr:blipFill>
      <xdr:spPr>
        <a:xfrm>
          <a:off x="627994" y="544511"/>
          <a:ext cx="1365251" cy="1324504"/>
        </a:xfrm>
        <a:prstGeom prst="rect">
          <a:avLst/>
        </a:prstGeom>
        <a:effectLst>
          <a:glow rad="63500">
            <a:schemeClr val="bg1"/>
          </a:glow>
        </a:effectLst>
      </xdr:spPr>
    </xdr:pic>
    <xdr:clientData/>
  </xdr:twoCellAnchor>
  <xdr:twoCellAnchor>
    <xdr:from>
      <xdr:col>12</xdr:col>
      <xdr:colOff>93133</xdr:colOff>
      <xdr:row>6</xdr:row>
      <xdr:rowOff>7860</xdr:rowOff>
    </xdr:from>
    <xdr:to>
      <xdr:col>13</xdr:col>
      <xdr:colOff>1015999</xdr:colOff>
      <xdr:row>10</xdr:row>
      <xdr:rowOff>25400</xdr:rowOff>
    </xdr:to>
    <xdr:sp macro="" textlink="">
      <xdr:nvSpPr>
        <xdr:cNvPr id="11" name="Rectangle 10">
          <a:extLst>
            <a:ext uri="{FF2B5EF4-FFF2-40B4-BE49-F238E27FC236}">
              <a16:creationId xmlns:a16="http://schemas.microsoft.com/office/drawing/2014/main" id="{944C312A-1951-4648-BB4A-CE75F0224942}"/>
            </a:ext>
          </a:extLst>
        </xdr:cNvPr>
        <xdr:cNvSpPr/>
      </xdr:nvSpPr>
      <xdr:spPr>
        <a:xfrm>
          <a:off x="4469871" y="1465185"/>
          <a:ext cx="2023003" cy="917653"/>
        </a:xfrm>
        <a:prstGeom prst="rect">
          <a:avLst/>
        </a:prstGeom>
        <a:solidFill>
          <a:srgbClr val="28448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615642</xdr:colOff>
      <xdr:row>12</xdr:row>
      <xdr:rowOff>5808</xdr:rowOff>
    </xdr:from>
    <xdr:to>
      <xdr:col>10</xdr:col>
      <xdr:colOff>691143</xdr:colOff>
      <xdr:row>23</xdr:row>
      <xdr:rowOff>11616</xdr:rowOff>
    </xdr:to>
    <xdr:graphicFrame macro="">
      <xdr:nvGraphicFramePr>
        <xdr:cNvPr id="13" name="Chart 12">
          <a:extLst>
            <a:ext uri="{FF2B5EF4-FFF2-40B4-BE49-F238E27FC236}">
              <a16:creationId xmlns:a16="http://schemas.microsoft.com/office/drawing/2014/main" id="{E1AE5E90-4A56-496E-8823-21D489788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12</xdr:row>
      <xdr:rowOff>0</xdr:rowOff>
    </xdr:from>
    <xdr:to>
      <xdr:col>6</xdr:col>
      <xdr:colOff>540137</xdr:colOff>
      <xdr:row>22</xdr:row>
      <xdr:rowOff>191313</xdr:rowOff>
    </xdr:to>
    <xdr:graphicFrame macro="">
      <xdr:nvGraphicFramePr>
        <xdr:cNvPr id="14" name="Chart 13">
          <a:extLst>
            <a:ext uri="{FF2B5EF4-FFF2-40B4-BE49-F238E27FC236}">
              <a16:creationId xmlns:a16="http://schemas.microsoft.com/office/drawing/2014/main" id="{AFFBEEC8-2D60-47B3-91A4-1616A77F5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789878</xdr:colOff>
      <xdr:row>12</xdr:row>
      <xdr:rowOff>11616</xdr:rowOff>
    </xdr:from>
    <xdr:to>
      <xdr:col>13</xdr:col>
      <xdr:colOff>1091889</xdr:colOff>
      <xdr:row>23</xdr:row>
      <xdr:rowOff>17423</xdr:rowOff>
    </xdr:to>
    <xdr:graphicFrame macro="">
      <xdr:nvGraphicFramePr>
        <xdr:cNvPr id="15" name="Chart 14">
          <a:extLst>
            <a:ext uri="{FF2B5EF4-FFF2-40B4-BE49-F238E27FC236}">
              <a16:creationId xmlns:a16="http://schemas.microsoft.com/office/drawing/2014/main" id="{50758AA8-56F2-4D08-AFC1-17FCF3B2E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321623</xdr:colOff>
      <xdr:row>23</xdr:row>
      <xdr:rowOff>105834</xdr:rowOff>
    </xdr:from>
    <xdr:to>
      <xdr:col>14</xdr:col>
      <xdr:colOff>0</xdr:colOff>
      <xdr:row>33</xdr:row>
      <xdr:rowOff>7561</xdr:rowOff>
    </xdr:to>
    <xdr:graphicFrame macro="">
      <xdr:nvGraphicFramePr>
        <xdr:cNvPr id="17" name="Chart 16">
          <a:extLst>
            <a:ext uri="{FF2B5EF4-FFF2-40B4-BE49-F238E27FC236}">
              <a16:creationId xmlns:a16="http://schemas.microsoft.com/office/drawing/2014/main" id="{7209E6FA-7788-4168-9524-329723C31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7106</xdr:colOff>
      <xdr:row>23</xdr:row>
      <xdr:rowOff>111125</xdr:rowOff>
    </xdr:from>
    <xdr:to>
      <xdr:col>9</xdr:col>
      <xdr:colOff>204106</xdr:colOff>
      <xdr:row>33</xdr:row>
      <xdr:rowOff>21323</xdr:rowOff>
    </xdr:to>
    <xdr:graphicFrame macro="">
      <xdr:nvGraphicFramePr>
        <xdr:cNvPr id="18" name="Chart 17">
          <a:extLst>
            <a:ext uri="{FF2B5EF4-FFF2-40B4-BE49-F238E27FC236}">
              <a16:creationId xmlns:a16="http://schemas.microsoft.com/office/drawing/2014/main" id="{605D470C-3BE3-4B18-8FE7-ED87AD632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78190</xdr:colOff>
      <xdr:row>1</xdr:row>
      <xdr:rowOff>63973</xdr:rowOff>
    </xdr:from>
    <xdr:to>
      <xdr:col>8</xdr:col>
      <xdr:colOff>1016473</xdr:colOff>
      <xdr:row>3</xdr:row>
      <xdr:rowOff>142164</xdr:rowOff>
    </xdr:to>
    <xdr:sp macro="" textlink="">
      <xdr:nvSpPr>
        <xdr:cNvPr id="19" name="TextBox 18">
          <a:extLst>
            <a:ext uri="{FF2B5EF4-FFF2-40B4-BE49-F238E27FC236}">
              <a16:creationId xmlns:a16="http://schemas.microsoft.com/office/drawing/2014/main" id="{48D356BD-D3C4-1CEB-E260-807CC901EABE}"/>
            </a:ext>
          </a:extLst>
        </xdr:cNvPr>
        <xdr:cNvSpPr txBox="1"/>
      </xdr:nvSpPr>
      <xdr:spPr>
        <a:xfrm>
          <a:off x="2253302" y="547331"/>
          <a:ext cx="5480429" cy="46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SALES PERFORMANCE</a:t>
          </a:r>
          <a:r>
            <a:rPr lang="en-US" sz="2400" b="1" baseline="0">
              <a:solidFill>
                <a:schemeClr val="bg1"/>
              </a:solidFill>
            </a:rPr>
            <a:t> DASHBOARD</a:t>
          </a:r>
          <a:endParaRPr lang="en-US" sz="2400" b="1">
            <a:solidFill>
              <a:schemeClr val="bg1"/>
            </a:solidFill>
          </a:endParaRPr>
        </a:p>
      </xdr:txBody>
    </xdr:sp>
    <xdr:clientData/>
  </xdr:twoCellAnchor>
  <xdr:twoCellAnchor>
    <xdr:from>
      <xdr:col>3</xdr:col>
      <xdr:colOff>81318</xdr:colOff>
      <xdr:row>3</xdr:row>
      <xdr:rowOff>59993</xdr:rowOff>
    </xdr:from>
    <xdr:to>
      <xdr:col>8</xdr:col>
      <xdr:colOff>1019601</xdr:colOff>
      <xdr:row>5</xdr:row>
      <xdr:rowOff>138183</xdr:rowOff>
    </xdr:to>
    <xdr:sp macro="" textlink="">
      <xdr:nvSpPr>
        <xdr:cNvPr id="20" name="TextBox 19">
          <a:extLst>
            <a:ext uri="{FF2B5EF4-FFF2-40B4-BE49-F238E27FC236}">
              <a16:creationId xmlns:a16="http://schemas.microsoft.com/office/drawing/2014/main" id="{C5BB4DE2-1EFE-4E5B-BC00-98C1378F1984}"/>
            </a:ext>
          </a:extLst>
        </xdr:cNvPr>
        <xdr:cNvSpPr txBox="1"/>
      </xdr:nvSpPr>
      <xdr:spPr>
        <a:xfrm>
          <a:off x="2256430" y="927194"/>
          <a:ext cx="5480429" cy="46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1">
              <a:solidFill>
                <a:schemeClr val="bg1"/>
              </a:solidFill>
            </a:rPr>
            <a:t>Figure</a:t>
          </a:r>
          <a:r>
            <a:rPr lang="en-US" sz="1600" b="0" i="1" baseline="0">
              <a:solidFill>
                <a:schemeClr val="bg1"/>
              </a:solidFill>
            </a:rPr>
            <a:t> in VND</a:t>
          </a:r>
          <a:endParaRPr lang="en-US" sz="1600" b="0" i="1">
            <a:solidFill>
              <a:schemeClr val="bg1"/>
            </a:solidFill>
          </a:endParaRPr>
        </a:p>
      </xdr:txBody>
    </xdr:sp>
    <xdr:clientData/>
  </xdr:twoCellAnchor>
  <xdr:twoCellAnchor>
    <xdr:from>
      <xdr:col>3</xdr:col>
      <xdr:colOff>37110</xdr:colOff>
      <xdr:row>6</xdr:row>
      <xdr:rowOff>83643</xdr:rowOff>
    </xdr:from>
    <xdr:to>
      <xdr:col>4</xdr:col>
      <xdr:colOff>952500</xdr:colOff>
      <xdr:row>8</xdr:row>
      <xdr:rowOff>161832</xdr:rowOff>
    </xdr:to>
    <xdr:sp macro="" textlink="">
      <xdr:nvSpPr>
        <xdr:cNvPr id="21" name="TextBox 20">
          <a:extLst>
            <a:ext uri="{FF2B5EF4-FFF2-40B4-BE49-F238E27FC236}">
              <a16:creationId xmlns:a16="http://schemas.microsoft.com/office/drawing/2014/main" id="{88B28EF1-0DBF-4A8B-AD6D-0C05B507FEA4}"/>
            </a:ext>
          </a:extLst>
        </xdr:cNvPr>
        <xdr:cNvSpPr txBox="1"/>
      </xdr:nvSpPr>
      <xdr:spPr>
        <a:xfrm>
          <a:off x="2213309" y="1558696"/>
          <a:ext cx="2013410"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Total Revenue</a:t>
          </a:r>
        </a:p>
      </xdr:txBody>
    </xdr:sp>
    <xdr:clientData/>
  </xdr:twoCellAnchor>
  <xdr:twoCellAnchor>
    <xdr:from>
      <xdr:col>5</xdr:col>
      <xdr:colOff>116815</xdr:colOff>
      <xdr:row>6</xdr:row>
      <xdr:rowOff>83643</xdr:rowOff>
    </xdr:from>
    <xdr:to>
      <xdr:col>6</xdr:col>
      <xdr:colOff>992936</xdr:colOff>
      <xdr:row>8</xdr:row>
      <xdr:rowOff>161832</xdr:rowOff>
    </xdr:to>
    <xdr:sp macro="" textlink="">
      <xdr:nvSpPr>
        <xdr:cNvPr id="22" name="TextBox 21">
          <a:extLst>
            <a:ext uri="{FF2B5EF4-FFF2-40B4-BE49-F238E27FC236}">
              <a16:creationId xmlns:a16="http://schemas.microsoft.com/office/drawing/2014/main" id="{4991D9E8-8AE7-4867-BE7D-5815BD1419BF}"/>
            </a:ext>
          </a:extLst>
        </xdr:cNvPr>
        <xdr:cNvSpPr txBox="1"/>
      </xdr:nvSpPr>
      <xdr:spPr>
        <a:xfrm>
          <a:off x="4489055" y="1558696"/>
          <a:ext cx="1974142"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Units Sold</a:t>
          </a:r>
        </a:p>
      </xdr:txBody>
    </xdr:sp>
    <xdr:clientData/>
  </xdr:twoCellAnchor>
  <xdr:twoCellAnchor>
    <xdr:from>
      <xdr:col>8</xdr:col>
      <xdr:colOff>40436</xdr:colOff>
      <xdr:row>6</xdr:row>
      <xdr:rowOff>83643</xdr:rowOff>
    </xdr:from>
    <xdr:to>
      <xdr:col>9</xdr:col>
      <xdr:colOff>961486</xdr:colOff>
      <xdr:row>8</xdr:row>
      <xdr:rowOff>161832</xdr:rowOff>
    </xdr:to>
    <xdr:sp macro="" textlink="">
      <xdr:nvSpPr>
        <xdr:cNvPr id="23" name="TextBox 22">
          <a:extLst>
            <a:ext uri="{FF2B5EF4-FFF2-40B4-BE49-F238E27FC236}">
              <a16:creationId xmlns:a16="http://schemas.microsoft.com/office/drawing/2014/main" id="{A59C434A-68D6-4403-9E31-298E8B5FCA6F}"/>
            </a:ext>
          </a:extLst>
        </xdr:cNvPr>
        <xdr:cNvSpPr txBox="1"/>
      </xdr:nvSpPr>
      <xdr:spPr>
        <a:xfrm>
          <a:off x="6747624" y="1558696"/>
          <a:ext cx="2019070"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Conversion Rate</a:t>
          </a:r>
        </a:p>
      </xdr:txBody>
    </xdr:sp>
    <xdr:clientData/>
  </xdr:twoCellAnchor>
  <xdr:twoCellAnchor>
    <xdr:from>
      <xdr:col>10</xdr:col>
      <xdr:colOff>98961</xdr:colOff>
      <xdr:row>6</xdr:row>
      <xdr:rowOff>83643</xdr:rowOff>
    </xdr:from>
    <xdr:to>
      <xdr:col>11</xdr:col>
      <xdr:colOff>983425</xdr:colOff>
      <xdr:row>8</xdr:row>
      <xdr:rowOff>161832</xdr:rowOff>
    </xdr:to>
    <xdr:sp macro="" textlink="">
      <xdr:nvSpPr>
        <xdr:cNvPr id="24" name="TextBox 23">
          <a:extLst>
            <a:ext uri="{FF2B5EF4-FFF2-40B4-BE49-F238E27FC236}">
              <a16:creationId xmlns:a16="http://schemas.microsoft.com/office/drawing/2014/main" id="{05BA1B0D-74E0-467D-86CE-6FD2483DAFA4}"/>
            </a:ext>
          </a:extLst>
        </xdr:cNvPr>
        <xdr:cNvSpPr txBox="1"/>
      </xdr:nvSpPr>
      <xdr:spPr>
        <a:xfrm>
          <a:off x="9101410" y="1558696"/>
          <a:ext cx="1982484"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APT</a:t>
          </a:r>
        </a:p>
      </xdr:txBody>
    </xdr:sp>
    <xdr:clientData/>
  </xdr:twoCellAnchor>
  <xdr:twoCellAnchor>
    <xdr:from>
      <xdr:col>12</xdr:col>
      <xdr:colOff>117517</xdr:colOff>
      <xdr:row>6</xdr:row>
      <xdr:rowOff>83643</xdr:rowOff>
    </xdr:from>
    <xdr:to>
      <xdr:col>13</xdr:col>
      <xdr:colOff>1001981</xdr:colOff>
      <xdr:row>8</xdr:row>
      <xdr:rowOff>161832</xdr:rowOff>
    </xdr:to>
    <xdr:sp macro="" textlink="">
      <xdr:nvSpPr>
        <xdr:cNvPr id="25" name="TextBox 24">
          <a:extLst>
            <a:ext uri="{FF2B5EF4-FFF2-40B4-BE49-F238E27FC236}">
              <a16:creationId xmlns:a16="http://schemas.microsoft.com/office/drawing/2014/main" id="{12A9C1C5-E3CC-4A30-8EEF-60DEB667F57A}"/>
            </a:ext>
          </a:extLst>
        </xdr:cNvPr>
        <xdr:cNvSpPr txBox="1"/>
      </xdr:nvSpPr>
      <xdr:spPr>
        <a:xfrm>
          <a:off x="11316007" y="1558696"/>
          <a:ext cx="1982485" cy="4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a:solidFill>
                <a:schemeClr val="bg1"/>
              </a:solidFill>
            </a:rPr>
            <a:t>UPT</a:t>
          </a:r>
        </a:p>
      </xdr:txBody>
    </xdr:sp>
    <xdr:clientData/>
  </xdr:twoCellAnchor>
  <xdr:twoCellAnchor>
    <xdr:from>
      <xdr:col>3</xdr:col>
      <xdr:colOff>35184</xdr:colOff>
      <xdr:row>8</xdr:row>
      <xdr:rowOff>6163</xdr:rowOff>
    </xdr:from>
    <xdr:to>
      <xdr:col>4</xdr:col>
      <xdr:colOff>950574</xdr:colOff>
      <xdr:row>9</xdr:row>
      <xdr:rowOff>277547</xdr:rowOff>
    </xdr:to>
    <xdr:sp macro="" textlink="Calculation!A4">
      <xdr:nvSpPr>
        <xdr:cNvPr id="26" name="TextBox 25">
          <a:extLst>
            <a:ext uri="{FF2B5EF4-FFF2-40B4-BE49-F238E27FC236}">
              <a16:creationId xmlns:a16="http://schemas.microsoft.com/office/drawing/2014/main" id="{9AEDBCF7-055C-4F3A-8E27-8A4C5BA70F24}"/>
            </a:ext>
          </a:extLst>
        </xdr:cNvPr>
        <xdr:cNvSpPr txBox="1"/>
      </xdr:nvSpPr>
      <xdr:spPr>
        <a:xfrm>
          <a:off x="2214253" y="1839276"/>
          <a:ext cx="2016156"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8ADD38-481C-4E25-90CC-5668A3EF9813}" type="TxLink">
            <a:rPr lang="en-US" sz="2000" b="1" i="0" u="none" strike="noStrike">
              <a:solidFill>
                <a:schemeClr val="bg1"/>
              </a:solidFill>
              <a:latin typeface="Calibri"/>
              <a:ea typeface="Calibri"/>
              <a:cs typeface="Calibri"/>
            </a:rPr>
            <a:pPr algn="ctr"/>
            <a:t> 6.204.422.598 ₫ </a:t>
          </a:fld>
          <a:endParaRPr lang="en-US" sz="2000" b="1" i="0">
            <a:solidFill>
              <a:schemeClr val="bg1"/>
            </a:solidFill>
          </a:endParaRPr>
        </a:p>
      </xdr:txBody>
    </xdr:sp>
    <xdr:clientData/>
  </xdr:twoCellAnchor>
  <xdr:twoCellAnchor>
    <xdr:from>
      <xdr:col>5</xdr:col>
      <xdr:colOff>93235</xdr:colOff>
      <xdr:row>8</xdr:row>
      <xdr:rowOff>6163</xdr:rowOff>
    </xdr:from>
    <xdr:to>
      <xdr:col>6</xdr:col>
      <xdr:colOff>1008625</xdr:colOff>
      <xdr:row>9</xdr:row>
      <xdr:rowOff>277547</xdr:rowOff>
    </xdr:to>
    <xdr:sp macro="" textlink="Calculation!B4">
      <xdr:nvSpPr>
        <xdr:cNvPr id="27" name="TextBox 26">
          <a:extLst>
            <a:ext uri="{FF2B5EF4-FFF2-40B4-BE49-F238E27FC236}">
              <a16:creationId xmlns:a16="http://schemas.microsoft.com/office/drawing/2014/main" id="{27307FF0-CCA8-41E4-B9CB-27AD0432B36D}"/>
            </a:ext>
          </a:extLst>
        </xdr:cNvPr>
        <xdr:cNvSpPr txBox="1"/>
      </xdr:nvSpPr>
      <xdr:spPr>
        <a:xfrm>
          <a:off x="4473837" y="1839276"/>
          <a:ext cx="2016156"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793D45-CEF7-49F8-A40C-E7A64330AF66}" type="TxLink">
            <a:rPr lang="en-US" sz="2000" b="1" i="0" u="none" strike="noStrike">
              <a:solidFill>
                <a:schemeClr val="bg1"/>
              </a:solidFill>
              <a:latin typeface="Calibri"/>
              <a:ea typeface="Calibri"/>
              <a:cs typeface="Calibri"/>
            </a:rPr>
            <a:pPr marL="0" indent="0" algn="ctr"/>
            <a:t>20127</a:t>
          </a:fld>
          <a:endParaRPr lang="en-US" sz="2000" b="1" i="0" u="none" strike="noStrike">
            <a:solidFill>
              <a:schemeClr val="bg1"/>
            </a:solidFill>
            <a:latin typeface="Calibri"/>
            <a:ea typeface="Calibri"/>
            <a:cs typeface="Calibri"/>
          </a:endParaRPr>
        </a:p>
      </xdr:txBody>
    </xdr:sp>
    <xdr:clientData/>
  </xdr:twoCellAnchor>
  <xdr:twoCellAnchor>
    <xdr:from>
      <xdr:col>8</xdr:col>
      <xdr:colOff>34471</xdr:colOff>
      <xdr:row>8</xdr:row>
      <xdr:rowOff>6163</xdr:rowOff>
    </xdr:from>
    <xdr:to>
      <xdr:col>9</xdr:col>
      <xdr:colOff>949860</xdr:colOff>
      <xdr:row>9</xdr:row>
      <xdr:rowOff>277547</xdr:rowOff>
    </xdr:to>
    <xdr:sp macro="" textlink="Calculation!C4">
      <xdr:nvSpPr>
        <xdr:cNvPr id="28" name="TextBox 27">
          <a:extLst>
            <a:ext uri="{FF2B5EF4-FFF2-40B4-BE49-F238E27FC236}">
              <a16:creationId xmlns:a16="http://schemas.microsoft.com/office/drawing/2014/main" id="{2C48AA7F-D666-40F3-B986-E6F5B782E6BD}"/>
            </a:ext>
          </a:extLst>
        </xdr:cNvPr>
        <xdr:cNvSpPr txBox="1"/>
      </xdr:nvSpPr>
      <xdr:spPr>
        <a:xfrm>
          <a:off x="6755886" y="1839276"/>
          <a:ext cx="2016156"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BD4F00-D770-44BA-AF2B-7D0029483B34}" type="TxLink">
            <a:rPr lang="en-US" sz="2000" b="1" i="0" u="none" strike="noStrike">
              <a:solidFill>
                <a:schemeClr val="bg1"/>
              </a:solidFill>
              <a:latin typeface="Calibri"/>
              <a:ea typeface="Calibri"/>
              <a:cs typeface="Calibri"/>
            </a:rPr>
            <a:pPr marL="0" indent="0" algn="ctr"/>
            <a:t>63,11%</a:t>
          </a:fld>
          <a:endParaRPr lang="en-US" sz="2000" b="1" i="0" u="none" strike="noStrike">
            <a:solidFill>
              <a:schemeClr val="bg1"/>
            </a:solidFill>
            <a:latin typeface="Calibri"/>
            <a:ea typeface="Calibri"/>
            <a:cs typeface="Calibri"/>
          </a:endParaRPr>
        </a:p>
      </xdr:txBody>
    </xdr:sp>
    <xdr:clientData/>
  </xdr:twoCellAnchor>
  <xdr:twoCellAnchor>
    <xdr:from>
      <xdr:col>10</xdr:col>
      <xdr:colOff>101505</xdr:colOff>
      <xdr:row>8</xdr:row>
      <xdr:rowOff>6163</xdr:rowOff>
    </xdr:from>
    <xdr:to>
      <xdr:col>11</xdr:col>
      <xdr:colOff>1016895</xdr:colOff>
      <xdr:row>9</xdr:row>
      <xdr:rowOff>277547</xdr:rowOff>
    </xdr:to>
    <xdr:sp macro="" textlink="Calculation!D4">
      <xdr:nvSpPr>
        <xdr:cNvPr id="29" name="TextBox 28">
          <a:extLst>
            <a:ext uri="{FF2B5EF4-FFF2-40B4-BE49-F238E27FC236}">
              <a16:creationId xmlns:a16="http://schemas.microsoft.com/office/drawing/2014/main" id="{2E342EE8-30B6-44FF-9795-DE6E04F8E661}"/>
            </a:ext>
          </a:extLst>
        </xdr:cNvPr>
        <xdr:cNvSpPr txBox="1"/>
      </xdr:nvSpPr>
      <xdr:spPr>
        <a:xfrm>
          <a:off x="9118805" y="1839276"/>
          <a:ext cx="2016156"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AECF1CF-DE99-49B4-B865-61C5ECD48A4D}" type="TxLink">
            <a:rPr lang="en-US" sz="2000" b="1" i="0" u="none" strike="noStrike">
              <a:solidFill>
                <a:schemeClr val="bg1"/>
              </a:solidFill>
              <a:latin typeface="Calibri"/>
              <a:ea typeface="Calibri"/>
              <a:cs typeface="Calibri"/>
            </a:rPr>
            <a:pPr marL="0" indent="0" algn="ctr"/>
            <a:t> 561.174 ₫ </a:t>
          </a:fld>
          <a:endParaRPr lang="en-US" sz="2000" b="1" i="0" u="none" strike="noStrike">
            <a:solidFill>
              <a:schemeClr val="bg1"/>
            </a:solidFill>
            <a:latin typeface="Calibri"/>
            <a:ea typeface="Calibri"/>
            <a:cs typeface="Calibri"/>
          </a:endParaRPr>
        </a:p>
      </xdr:txBody>
    </xdr:sp>
    <xdr:clientData/>
  </xdr:twoCellAnchor>
  <xdr:twoCellAnchor>
    <xdr:from>
      <xdr:col>12</xdr:col>
      <xdr:colOff>117981</xdr:colOff>
      <xdr:row>8</xdr:row>
      <xdr:rowOff>6163</xdr:rowOff>
    </xdr:from>
    <xdr:to>
      <xdr:col>13</xdr:col>
      <xdr:colOff>1028879</xdr:colOff>
      <xdr:row>9</xdr:row>
      <xdr:rowOff>277547</xdr:rowOff>
    </xdr:to>
    <xdr:sp macro="" textlink="Calculation!E4">
      <xdr:nvSpPr>
        <xdr:cNvPr id="30" name="TextBox 29">
          <a:extLst>
            <a:ext uri="{FF2B5EF4-FFF2-40B4-BE49-F238E27FC236}">
              <a16:creationId xmlns:a16="http://schemas.microsoft.com/office/drawing/2014/main" id="{380715C5-09BC-4308-9A8C-D669D57A8004}"/>
            </a:ext>
          </a:extLst>
        </xdr:cNvPr>
        <xdr:cNvSpPr txBox="1"/>
      </xdr:nvSpPr>
      <xdr:spPr>
        <a:xfrm>
          <a:off x="11336814" y="1839276"/>
          <a:ext cx="2011664" cy="464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986A3A-082C-4DB1-8D88-F81A131FAFD1}" type="TxLink">
            <a:rPr lang="en-US" sz="2000" b="1" i="0" u="none" strike="noStrike">
              <a:solidFill>
                <a:schemeClr val="bg1"/>
              </a:solidFill>
              <a:latin typeface="Calibri"/>
              <a:ea typeface="Calibri"/>
              <a:cs typeface="Calibri"/>
            </a:rPr>
            <a:pPr marL="0" indent="0" algn="ctr"/>
            <a:t>1,83</a:t>
          </a:fld>
          <a:endParaRPr lang="en-US" sz="2000" b="1" i="0" u="none" strike="noStrike">
            <a:solidFill>
              <a:schemeClr val="bg1"/>
            </a:solidFill>
            <a:latin typeface="Calibri"/>
            <a:ea typeface="Calibri"/>
            <a:cs typeface="Calibri"/>
          </a:endParaRPr>
        </a:p>
      </xdr:txBody>
    </xdr:sp>
    <xdr:clientData/>
  </xdr:twoCellAnchor>
  <xdr:twoCellAnchor editAs="oneCell">
    <xdr:from>
      <xdr:col>1</xdr:col>
      <xdr:colOff>138998</xdr:colOff>
      <xdr:row>7</xdr:row>
      <xdr:rowOff>45668</xdr:rowOff>
    </xdr:from>
    <xdr:to>
      <xdr:col>1</xdr:col>
      <xdr:colOff>1422226</xdr:colOff>
      <xdr:row>15</xdr:row>
      <xdr:rowOff>68096</xdr:rowOff>
    </xdr:to>
    <mc:AlternateContent xmlns:mc="http://schemas.openxmlformats.org/markup-compatibility/2006" xmlns:a14="http://schemas.microsoft.com/office/drawing/2010/main">
      <mc:Choice Requires="a14">
        <xdr:graphicFrame macro="">
          <xdr:nvGraphicFramePr>
            <xdr:cNvPr id="31" name="Month">
              <a:extLst>
                <a:ext uri="{FF2B5EF4-FFF2-40B4-BE49-F238E27FC236}">
                  <a16:creationId xmlns:a16="http://schemas.microsoft.com/office/drawing/2014/main" id="{EC6264F4-ED31-4FD9-B551-77BAB855D84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92204" y="1681818"/>
              <a:ext cx="1283228" cy="1720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147935</xdr:colOff>
      <xdr:row>17</xdr:row>
      <xdr:rowOff>99496</xdr:rowOff>
    </xdr:from>
    <xdr:to>
      <xdr:col>1</xdr:col>
      <xdr:colOff>1431163</xdr:colOff>
      <xdr:row>28</xdr:row>
      <xdr:rowOff>128536</xdr:rowOff>
    </xdr:to>
    <mc:AlternateContent xmlns:mc="http://schemas.openxmlformats.org/markup-compatibility/2006" xmlns:a14="http://schemas.microsoft.com/office/drawing/2010/main">
      <mc:Choice Requires="a14">
        <xdr:graphicFrame macro="">
          <xdr:nvGraphicFramePr>
            <xdr:cNvPr id="32" name="Weekday">
              <a:extLst>
                <a:ext uri="{FF2B5EF4-FFF2-40B4-BE49-F238E27FC236}">
                  <a16:creationId xmlns:a16="http://schemas.microsoft.com/office/drawing/2014/main" id="{69CFC217-C158-489C-90C7-C5CDAE10C0CD}"/>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601141" y="3817319"/>
              <a:ext cx="1283228" cy="2248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9763</xdr:colOff>
      <xdr:row>1</xdr:row>
      <xdr:rowOff>111247</xdr:rowOff>
    </xdr:from>
    <xdr:to>
      <xdr:col>2</xdr:col>
      <xdr:colOff>-1</xdr:colOff>
      <xdr:row>6</xdr:row>
      <xdr:rowOff>97545</xdr:rowOff>
    </xdr:to>
    <xdr:sp macro="" textlink="">
      <xdr:nvSpPr>
        <xdr:cNvPr id="33" name="TextBox 32">
          <a:extLst>
            <a:ext uri="{FF2B5EF4-FFF2-40B4-BE49-F238E27FC236}">
              <a16:creationId xmlns:a16="http://schemas.microsoft.com/office/drawing/2014/main" id="{FB5957BA-B11F-4009-9B56-88E6357577D8}"/>
            </a:ext>
          </a:extLst>
        </xdr:cNvPr>
        <xdr:cNvSpPr txBox="1"/>
      </xdr:nvSpPr>
      <xdr:spPr>
        <a:xfrm>
          <a:off x="463062" y="593235"/>
          <a:ext cx="1562435" cy="961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Source: </a:t>
          </a:r>
          <a:r>
            <a:rPr lang="en-US" sz="1100" b="0">
              <a:solidFill>
                <a:schemeClr val="bg1"/>
              </a:solidFill>
            </a:rPr>
            <a:t>Daily Sales Data</a:t>
          </a:r>
        </a:p>
        <a:p>
          <a:r>
            <a:rPr lang="en-US" sz="1100" b="1">
              <a:solidFill>
                <a:schemeClr val="bg1"/>
              </a:solidFill>
            </a:rPr>
            <a:t>Time:</a:t>
          </a:r>
          <a:r>
            <a:rPr lang="en-US" sz="1100" b="1" baseline="0">
              <a:solidFill>
                <a:schemeClr val="bg1"/>
              </a:solidFill>
            </a:rPr>
            <a:t> </a:t>
          </a:r>
          <a:r>
            <a:rPr lang="en-US" sz="1100" b="0" baseline="0">
              <a:solidFill>
                <a:schemeClr val="bg1"/>
              </a:solidFill>
            </a:rPr>
            <a:t>01/01 - 26/05</a:t>
          </a:r>
        </a:p>
        <a:p>
          <a:r>
            <a:rPr lang="en-US" sz="1100" b="0" i="1" baseline="0">
              <a:solidFill>
                <a:schemeClr val="bg1"/>
              </a:solidFill>
            </a:rPr>
            <a:t>Created by Tien Le</a:t>
          </a:r>
          <a:endParaRPr lang="en-US" sz="1100" b="0" i="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92.713290856482" createdVersion="8" refreshedVersion="8" minRefreshableVersion="3" recordCount="137" xr:uid="{E711CE9C-3021-43D7-96D5-ECF409F7861A}">
  <cacheSource type="worksheet">
    <worksheetSource ref="A1:N138" sheet="Data"/>
  </cacheSource>
  <cacheFields count="16">
    <cacheField name="Date" numFmtId="164">
      <sharedItems containsSemiMixedTypes="0" containsNonDate="0" containsDate="1" containsString="0" minDate="2024-01-01T00:00:00" maxDate="2024-05-27T00:00:00" count="137">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2-01T00:00:00"/>
        <d v="2024-02-02T00:00:00"/>
        <d v="2024-02-03T00:00:00"/>
        <d v="2024-02-04T00:00:00"/>
        <d v="2024-02-05T00:00:00"/>
        <d v="2024-02-06T00:00:00"/>
        <d v="2024-02-07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sharedItems>
      <fieldGroup par="15"/>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0">
      <sharedItems count="5">
        <s v="january"/>
        <s v="february"/>
        <s v="march"/>
        <s v="april"/>
        <s v="may"/>
      </sharedItems>
    </cacheField>
    <cacheField name="Year" numFmtId="0">
      <sharedItems containsSemiMixedTypes="0" containsString="0" containsNumber="1" containsInteger="1" minValue="2024" maxValue="2024"/>
    </cacheField>
    <cacheField name="Week No" numFmtId="0">
      <sharedItems containsSemiMixedTypes="0" containsString="0" containsNumber="1" containsInteger="1" minValue="1" maxValue="21" count="21">
        <n v="1"/>
        <n v="2"/>
        <n v="3"/>
        <n v="4"/>
        <n v="5"/>
        <n v="6"/>
        <n v="7"/>
        <n v="8"/>
        <n v="9"/>
        <n v="10"/>
        <n v="11"/>
        <n v="12"/>
        <n v="13"/>
        <n v="14"/>
        <n v="15"/>
        <n v="16"/>
        <n v="17"/>
        <n v="18"/>
        <n v="19"/>
        <n v="20"/>
        <n v="21"/>
      </sharedItems>
    </cacheField>
    <cacheField name="Weekday" numFmtId="0">
      <sharedItems count="7">
        <s v="monday"/>
        <s v="tuesday"/>
        <s v="wednesday"/>
        <s v="thursday"/>
        <s v="friday"/>
        <s v="saturday"/>
        <s v="sunday"/>
      </sharedItems>
    </cacheField>
    <cacheField name="# Bill" numFmtId="0">
      <sharedItems containsSemiMixedTypes="0" containsString="0" containsNumber="1" containsInteger="1" minValue="17" maxValue="206"/>
    </cacheField>
    <cacheField name="Unit" numFmtId="0">
      <sharedItems containsSemiMixedTypes="0" containsString="0" containsNumber="1" containsInteger="1" minValue="31" maxValue="371"/>
    </cacheField>
    <cacheField name="APT" numFmtId="165">
      <sharedItems containsSemiMixedTypes="0" containsString="0" containsNumber="1" minValue="440679.06976744178" maxValue="783220.92105263157"/>
    </cacheField>
    <cacheField name="UPT" numFmtId="0">
      <sharedItems containsSemiMixedTypes="0" containsString="0" containsNumber="1" minValue="1.430555555555556" maxValue="2.5"/>
    </cacheField>
    <cacheField name="Traffic" numFmtId="0">
      <sharedItems containsSemiMixedTypes="0" containsString="0" containsNumber="1" containsInteger="1" minValue="22" maxValue="637"/>
    </cacheField>
    <cacheField name="Conversion Rate" numFmtId="10">
      <sharedItems containsSemiMixedTypes="0" containsString="0" containsNumber="1" minValue="0.31086142322097382" maxValue="0.83720930232558144"/>
    </cacheField>
    <cacheField name="Revenue" numFmtId="165">
      <sharedItems containsSemiMixedTypes="0" containsString="0" containsNumber="1" minValue="9404800" maxValue="121056895"/>
    </cacheField>
    <cacheField name="Target by Day" numFmtId="165">
      <sharedItems containsSemiMixedTypes="0" containsString="0" containsNumber="1" containsInteger="1" minValue="20000000" maxValue="80500000"/>
    </cacheField>
    <cacheField name="Days (Date)" numFmtId="0" databaseField="0">
      <fieldGroup base="0">
        <rangePr groupBy="days" startDate="2024-01-01T00:00:00" endDate="2024-05-27T00:00:00"/>
        <groupItems count="368">
          <s v="&lt;01/01/2024"/>
          <s v="01-Thg1"/>
          <s v="02-Thg1"/>
          <s v="03-Thg1"/>
          <s v="04-Thg1"/>
          <s v="05-Thg1"/>
          <s v="06-Thg1"/>
          <s v="07-Thg1"/>
          <s v="08-Thg1"/>
          <s v="09-Thg1"/>
          <s v="10-Thg1"/>
          <s v="11-Thg1"/>
          <s v="12-Thg1"/>
          <s v="13-Thg1"/>
          <s v="14-Thg1"/>
          <s v="15-Thg1"/>
          <s v="16-Thg1"/>
          <s v="17-Thg1"/>
          <s v="18-Thg1"/>
          <s v="19-Thg1"/>
          <s v="20-Thg1"/>
          <s v="21-Thg1"/>
          <s v="22-Thg1"/>
          <s v="23-Thg1"/>
          <s v="24-Thg1"/>
          <s v="25-Thg1"/>
          <s v="26-Thg1"/>
          <s v="27-Thg1"/>
          <s v="28-Thg1"/>
          <s v="29-Thg1"/>
          <s v="30-Thg1"/>
          <s v="31-Thg1"/>
          <s v="01-Thg2"/>
          <s v="02-Thg2"/>
          <s v="03-Thg2"/>
          <s v="04-Thg2"/>
          <s v="05-Thg2"/>
          <s v="06-Thg2"/>
          <s v="07-Thg2"/>
          <s v="08-Thg2"/>
          <s v="09-Thg2"/>
          <s v="10-Thg2"/>
          <s v="11-Thg2"/>
          <s v="12-Thg2"/>
          <s v="13-Thg2"/>
          <s v="14-Thg2"/>
          <s v="15-Thg2"/>
          <s v="16-Thg2"/>
          <s v="17-Thg2"/>
          <s v="18-Thg2"/>
          <s v="19-Thg2"/>
          <s v="20-Thg2"/>
          <s v="21-Thg2"/>
          <s v="22-Thg2"/>
          <s v="23-Thg2"/>
          <s v="24-Thg2"/>
          <s v="25-Thg2"/>
          <s v="26-Thg2"/>
          <s v="27-Thg2"/>
          <s v="28-Thg2"/>
          <s v="29-Thg2"/>
          <s v="01-Thg3"/>
          <s v="02-Thg3"/>
          <s v="03-Thg3"/>
          <s v="04-Thg3"/>
          <s v="05-Thg3"/>
          <s v="06-Thg3"/>
          <s v="07-Thg3"/>
          <s v="08-Thg3"/>
          <s v="09-Thg3"/>
          <s v="10-Thg3"/>
          <s v="11-Thg3"/>
          <s v="12-Thg3"/>
          <s v="13-Thg3"/>
          <s v="14-Thg3"/>
          <s v="15-Thg3"/>
          <s v="16-Thg3"/>
          <s v="17-Thg3"/>
          <s v="18-Thg3"/>
          <s v="19-Thg3"/>
          <s v="20-Thg3"/>
          <s v="21-Thg3"/>
          <s v="22-Thg3"/>
          <s v="23-Thg3"/>
          <s v="24-Thg3"/>
          <s v="25-Thg3"/>
          <s v="26-Thg3"/>
          <s v="27-Thg3"/>
          <s v="28-Thg3"/>
          <s v="29-Thg3"/>
          <s v="30-Thg3"/>
          <s v="31-Thg3"/>
          <s v="01-Thg4"/>
          <s v="02-Thg4"/>
          <s v="03-Thg4"/>
          <s v="04-Thg4"/>
          <s v="05-Thg4"/>
          <s v="06-Thg4"/>
          <s v="07-Thg4"/>
          <s v="08-Thg4"/>
          <s v="09-Thg4"/>
          <s v="10-Thg4"/>
          <s v="11-Thg4"/>
          <s v="12-Thg4"/>
          <s v="13-Thg4"/>
          <s v="14-Thg4"/>
          <s v="15-Thg4"/>
          <s v="16-Thg4"/>
          <s v="17-Thg4"/>
          <s v="18-Thg4"/>
          <s v="19-Thg4"/>
          <s v="20-Thg4"/>
          <s v="21-Thg4"/>
          <s v="22-Thg4"/>
          <s v="23-Thg4"/>
          <s v="24-Thg4"/>
          <s v="25-Thg4"/>
          <s v="26-Thg4"/>
          <s v="27-Thg4"/>
          <s v="28-Thg4"/>
          <s v="29-Thg4"/>
          <s v="30-Thg4"/>
          <s v="01-Thg5"/>
          <s v="02-Thg5"/>
          <s v="03-Thg5"/>
          <s v="04-Thg5"/>
          <s v="05-Thg5"/>
          <s v="06-Thg5"/>
          <s v="07-Thg5"/>
          <s v="08-Thg5"/>
          <s v="09-Thg5"/>
          <s v="10-Thg5"/>
          <s v="11-Thg5"/>
          <s v="12-Thg5"/>
          <s v="13-Thg5"/>
          <s v="14-Thg5"/>
          <s v="15-Thg5"/>
          <s v="16-Thg5"/>
          <s v="17-Thg5"/>
          <s v="18-Thg5"/>
          <s v="19-Thg5"/>
          <s v="20-Thg5"/>
          <s v="21-Thg5"/>
          <s v="22-Thg5"/>
          <s v="23-Thg5"/>
          <s v="24-Thg5"/>
          <s v="25-Thg5"/>
          <s v="26-Thg5"/>
          <s v="27-Thg5"/>
          <s v="28-Thg5"/>
          <s v="29-Thg5"/>
          <s v="30-Thg5"/>
          <s v="31-Thg5"/>
          <s v="01-Thg6"/>
          <s v="02-Thg6"/>
          <s v="03-Thg6"/>
          <s v="04-Thg6"/>
          <s v="05-Thg6"/>
          <s v="06-Thg6"/>
          <s v="07-Thg6"/>
          <s v="08-Thg6"/>
          <s v="09-Thg6"/>
          <s v="10-Thg6"/>
          <s v="11-Thg6"/>
          <s v="12-Thg6"/>
          <s v="13-Thg6"/>
          <s v="14-Thg6"/>
          <s v="15-Thg6"/>
          <s v="16-Thg6"/>
          <s v="17-Thg6"/>
          <s v="18-Thg6"/>
          <s v="19-Thg6"/>
          <s v="20-Thg6"/>
          <s v="21-Thg6"/>
          <s v="22-Thg6"/>
          <s v="23-Thg6"/>
          <s v="24-Thg6"/>
          <s v="25-Thg6"/>
          <s v="26-Thg6"/>
          <s v="27-Thg6"/>
          <s v="28-Thg6"/>
          <s v="29-Thg6"/>
          <s v="30-Thg6"/>
          <s v="01-Thg7"/>
          <s v="02-Thg7"/>
          <s v="03-Thg7"/>
          <s v="04-Thg7"/>
          <s v="05-Thg7"/>
          <s v="06-Thg7"/>
          <s v="07-Thg7"/>
          <s v="08-Thg7"/>
          <s v="09-Thg7"/>
          <s v="10-Thg7"/>
          <s v="11-Thg7"/>
          <s v="12-Thg7"/>
          <s v="13-Thg7"/>
          <s v="14-Thg7"/>
          <s v="15-Thg7"/>
          <s v="16-Thg7"/>
          <s v="17-Thg7"/>
          <s v="18-Thg7"/>
          <s v="19-Thg7"/>
          <s v="20-Thg7"/>
          <s v="21-Thg7"/>
          <s v="22-Thg7"/>
          <s v="23-Thg7"/>
          <s v="24-Thg7"/>
          <s v="25-Thg7"/>
          <s v="26-Thg7"/>
          <s v="27-Thg7"/>
          <s v="28-Thg7"/>
          <s v="29-Thg7"/>
          <s v="30-Thg7"/>
          <s v="31-Thg7"/>
          <s v="01-Thg8"/>
          <s v="02-Thg8"/>
          <s v="03-Thg8"/>
          <s v="04-Thg8"/>
          <s v="05-Thg8"/>
          <s v="06-Thg8"/>
          <s v="07-Thg8"/>
          <s v="08-Thg8"/>
          <s v="09-Thg8"/>
          <s v="10-Thg8"/>
          <s v="11-Thg8"/>
          <s v="12-Thg8"/>
          <s v="13-Thg8"/>
          <s v="14-Thg8"/>
          <s v="15-Thg8"/>
          <s v="16-Thg8"/>
          <s v="17-Thg8"/>
          <s v="18-Thg8"/>
          <s v="19-Thg8"/>
          <s v="20-Thg8"/>
          <s v="21-Thg8"/>
          <s v="22-Thg8"/>
          <s v="23-Thg8"/>
          <s v="24-Thg8"/>
          <s v="25-Thg8"/>
          <s v="26-Thg8"/>
          <s v="27-Thg8"/>
          <s v="28-Thg8"/>
          <s v="29-Thg8"/>
          <s v="30-Thg8"/>
          <s v="31-Thg8"/>
          <s v="01-Thg9"/>
          <s v="02-Thg9"/>
          <s v="03-Thg9"/>
          <s v="04-Thg9"/>
          <s v="05-Thg9"/>
          <s v="06-Thg9"/>
          <s v="07-Thg9"/>
          <s v="08-Thg9"/>
          <s v="09-Thg9"/>
          <s v="10-Thg9"/>
          <s v="11-Thg9"/>
          <s v="12-Thg9"/>
          <s v="13-Thg9"/>
          <s v="14-Thg9"/>
          <s v="15-Thg9"/>
          <s v="16-Thg9"/>
          <s v="17-Thg9"/>
          <s v="18-Thg9"/>
          <s v="19-Thg9"/>
          <s v="20-Thg9"/>
          <s v="21-Thg9"/>
          <s v="22-Thg9"/>
          <s v="23-Thg9"/>
          <s v="24-Thg9"/>
          <s v="25-Thg9"/>
          <s v="26-Thg9"/>
          <s v="27-Thg9"/>
          <s v="28-Thg9"/>
          <s v="29-Thg9"/>
          <s v="30-Thg9"/>
          <s v="01-Thg10"/>
          <s v="02-Thg10"/>
          <s v="03-Thg10"/>
          <s v="04-Thg10"/>
          <s v="05-Thg10"/>
          <s v="06-Thg10"/>
          <s v="07-Thg10"/>
          <s v="08-Thg10"/>
          <s v="09-Thg10"/>
          <s v="10-Thg10"/>
          <s v="11-Thg10"/>
          <s v="12-Thg10"/>
          <s v="13-Thg10"/>
          <s v="14-Thg10"/>
          <s v="15-Thg10"/>
          <s v="16-Thg10"/>
          <s v="17-Thg10"/>
          <s v="18-Thg10"/>
          <s v="19-Thg10"/>
          <s v="20-Thg10"/>
          <s v="21-Thg10"/>
          <s v="22-Thg10"/>
          <s v="23-Thg10"/>
          <s v="24-Thg10"/>
          <s v="25-Thg10"/>
          <s v="26-Thg10"/>
          <s v="27-Thg10"/>
          <s v="28-Thg10"/>
          <s v="29-Thg10"/>
          <s v="30-Thg10"/>
          <s v="31-Thg10"/>
          <s v="01-Thg11"/>
          <s v="02-Thg11"/>
          <s v="03-Thg11"/>
          <s v="04-Thg11"/>
          <s v="05-Thg11"/>
          <s v="06-Thg11"/>
          <s v="07-Thg11"/>
          <s v="08-Thg11"/>
          <s v="09-Thg11"/>
          <s v="10-Thg11"/>
          <s v="11-Thg11"/>
          <s v="12-Thg11"/>
          <s v="13-Thg11"/>
          <s v="14-Thg11"/>
          <s v="15-Thg11"/>
          <s v="16-Thg11"/>
          <s v="17-Thg11"/>
          <s v="18-Thg11"/>
          <s v="19-Thg11"/>
          <s v="20-Thg11"/>
          <s v="21-Thg11"/>
          <s v="22-Thg11"/>
          <s v="23-Thg11"/>
          <s v="24-Thg11"/>
          <s v="25-Thg11"/>
          <s v="26-Thg11"/>
          <s v="27-Thg11"/>
          <s v="28-Thg11"/>
          <s v="29-Thg11"/>
          <s v="30-Thg11"/>
          <s v="01-Thg12"/>
          <s v="02-Thg12"/>
          <s v="03-Thg12"/>
          <s v="04-Thg12"/>
          <s v="05-Thg12"/>
          <s v="06-Thg12"/>
          <s v="07-Thg12"/>
          <s v="08-Thg12"/>
          <s v="09-Thg12"/>
          <s v="10-Thg12"/>
          <s v="11-Thg12"/>
          <s v="12-Thg12"/>
          <s v="13-Thg12"/>
          <s v="14-Thg12"/>
          <s v="15-Thg12"/>
          <s v="16-Thg12"/>
          <s v="17-Thg12"/>
          <s v="18-Thg12"/>
          <s v="19-Thg12"/>
          <s v="20-Thg12"/>
          <s v="21-Thg12"/>
          <s v="22-Thg12"/>
          <s v="23-Thg12"/>
          <s v="24-Thg12"/>
          <s v="25-Thg12"/>
          <s v="26-Thg12"/>
          <s v="27-Thg12"/>
          <s v="28-Thg12"/>
          <s v="29-Thg12"/>
          <s v="30-Thg12"/>
          <s v="31-Thg12"/>
          <s v="&gt;27/05/2024"/>
        </groupItems>
      </fieldGroup>
    </cacheField>
    <cacheField name="Months (Date)" numFmtId="0" databaseField="0">
      <fieldGroup base="0">
        <rangePr groupBy="months" startDate="2024-01-01T00:00:00" endDate="2024-05-27T00:00:00"/>
        <groupItems count="14">
          <s v="&lt;01/01/2024"/>
          <s v="Thg1"/>
          <s v="Thg2"/>
          <s v="Thg3"/>
          <s v="Thg4"/>
          <s v="Thg5"/>
          <s v="Thg6"/>
          <s v="Thg7"/>
          <s v="Thg8"/>
          <s v="Thg9"/>
          <s v="Thg10"/>
          <s v="Thg11"/>
          <s v="Thg12"/>
          <s v="&gt;27/05/2024"/>
        </groupItems>
      </fieldGroup>
    </cacheField>
  </cacheFields>
  <extLst>
    <ext xmlns:x14="http://schemas.microsoft.com/office/spreadsheetml/2009/9/main" uri="{725AE2AE-9491-48be-B2B4-4EB974FC3084}">
      <x14:pivotCacheDefinition pivotCacheId="783282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x v="0"/>
    <x v="0"/>
    <x v="0"/>
    <n v="2024"/>
    <x v="0"/>
    <x v="0"/>
    <n v="95"/>
    <n v="174"/>
    <n v="592866.31578947371"/>
    <n v="1.831578947368421"/>
    <n v="166"/>
    <n v="0.57228915662650603"/>
    <n v="56322300"/>
    <n v="64400000"/>
  </r>
  <r>
    <x v="1"/>
    <x v="1"/>
    <x v="0"/>
    <n v="2024"/>
    <x v="0"/>
    <x v="1"/>
    <n v="71"/>
    <n v="116"/>
    <n v="612120.42253521131"/>
    <n v="1.6338028169014081"/>
    <n v="163"/>
    <n v="0.43558282208588961"/>
    <n v="43460550"/>
    <n v="64400000"/>
  </r>
  <r>
    <x v="2"/>
    <x v="2"/>
    <x v="0"/>
    <n v="2024"/>
    <x v="0"/>
    <x v="2"/>
    <n v="83"/>
    <n v="121"/>
    <n v="537895.18072289159"/>
    <n v="1.457831325301205"/>
    <n v="267"/>
    <n v="0.31086142322097382"/>
    <n v="44645300"/>
    <n v="64400000"/>
  </r>
  <r>
    <x v="3"/>
    <x v="3"/>
    <x v="0"/>
    <n v="2024"/>
    <x v="0"/>
    <x v="3"/>
    <n v="121"/>
    <n v="201"/>
    <n v="585878.09917355375"/>
    <n v="1.661157024793388"/>
    <n v="250"/>
    <n v="0.48399999999999999"/>
    <n v="70891250"/>
    <n v="64400000"/>
  </r>
  <r>
    <x v="4"/>
    <x v="4"/>
    <x v="0"/>
    <n v="2024"/>
    <x v="0"/>
    <x v="4"/>
    <n v="117"/>
    <n v="214"/>
    <n v="648552.56410256412"/>
    <n v="1.829059829059829"/>
    <n v="240"/>
    <n v="0.48749999999999999"/>
    <n v="75880650"/>
    <n v="80500000"/>
  </r>
  <r>
    <x v="5"/>
    <x v="5"/>
    <x v="0"/>
    <n v="2024"/>
    <x v="0"/>
    <x v="5"/>
    <n v="158"/>
    <n v="267"/>
    <n v="603197.15189873416"/>
    <n v="1.6898734177215191"/>
    <n v="352"/>
    <n v="0.44886363636363641"/>
    <n v="95305150"/>
    <n v="80500000"/>
  </r>
  <r>
    <x v="6"/>
    <x v="6"/>
    <x v="0"/>
    <n v="2024"/>
    <x v="0"/>
    <x v="6"/>
    <n v="149"/>
    <n v="233"/>
    <n v="555145.20134228189"/>
    <n v="1.563758389261745"/>
    <n v="303"/>
    <n v="0.49174917491749182"/>
    <n v="82716635"/>
    <n v="64400000"/>
  </r>
  <r>
    <x v="7"/>
    <x v="7"/>
    <x v="0"/>
    <n v="2024"/>
    <x v="1"/>
    <x v="0"/>
    <n v="100"/>
    <n v="159"/>
    <n v="519478"/>
    <n v="1.59"/>
    <n v="192"/>
    <n v="0.52083333333333337"/>
    <n v="51947800"/>
    <n v="48300000"/>
  </r>
  <r>
    <x v="8"/>
    <x v="8"/>
    <x v="0"/>
    <n v="2024"/>
    <x v="1"/>
    <x v="1"/>
    <n v="112"/>
    <n v="194"/>
    <n v="572898.21428571432"/>
    <n v="1.732142857142857"/>
    <n v="210"/>
    <n v="0.53333333333333333"/>
    <n v="64164600"/>
    <n v="48300000"/>
  </r>
  <r>
    <x v="9"/>
    <x v="9"/>
    <x v="0"/>
    <n v="2024"/>
    <x v="1"/>
    <x v="2"/>
    <n v="143"/>
    <n v="222"/>
    <n v="522712.23776223778"/>
    <n v="1.5524475524475529"/>
    <n v="228"/>
    <n v="0.6271929824561403"/>
    <n v="74747850"/>
    <n v="48300000"/>
  </r>
  <r>
    <x v="10"/>
    <x v="10"/>
    <x v="0"/>
    <n v="2024"/>
    <x v="1"/>
    <x v="3"/>
    <n v="155"/>
    <n v="271"/>
    <n v="581280.32258064521"/>
    <n v="1.748387096774193"/>
    <n v="375"/>
    <n v="0.41333333333333327"/>
    <n v="90098450"/>
    <n v="48300000"/>
  </r>
  <r>
    <x v="11"/>
    <x v="11"/>
    <x v="0"/>
    <n v="2024"/>
    <x v="1"/>
    <x v="4"/>
    <n v="142"/>
    <n v="257"/>
    <n v="569126.14436619717"/>
    <n v="1.8098591549295771"/>
    <n v="210"/>
    <n v="0.67619047619047623"/>
    <n v="80815912.5"/>
    <n v="64400000"/>
  </r>
  <r>
    <x v="12"/>
    <x v="12"/>
    <x v="0"/>
    <n v="2024"/>
    <x v="1"/>
    <x v="5"/>
    <n v="189"/>
    <n v="339"/>
    <n v="588410.58201058197"/>
    <n v="1.7936507936507939"/>
    <n v="376"/>
    <n v="0.50265957446808507"/>
    <n v="111209600"/>
    <n v="64400000"/>
  </r>
  <r>
    <x v="13"/>
    <x v="13"/>
    <x v="0"/>
    <n v="2024"/>
    <x v="1"/>
    <x v="6"/>
    <n v="206"/>
    <n v="371"/>
    <n v="587654.83009708743"/>
    <n v="1.8009708737864081"/>
    <n v="637"/>
    <n v="0.32339089481946631"/>
    <n v="121056895"/>
    <n v="64400000"/>
  </r>
  <r>
    <x v="14"/>
    <x v="14"/>
    <x v="0"/>
    <n v="2024"/>
    <x v="2"/>
    <x v="0"/>
    <n v="98"/>
    <n v="163"/>
    <n v="511202.98469387757"/>
    <n v="1.6632653061224489"/>
    <n v="290"/>
    <n v="0.33793103448275857"/>
    <n v="50097892.5"/>
    <n v="32200000"/>
  </r>
  <r>
    <x v="15"/>
    <x v="15"/>
    <x v="0"/>
    <n v="2024"/>
    <x v="2"/>
    <x v="1"/>
    <n v="133"/>
    <n v="255"/>
    <n v="574671.78571428568"/>
    <n v="1.917293233082707"/>
    <n v="326"/>
    <n v="0.40797546012269942"/>
    <n v="76431347.5"/>
    <n v="32200000"/>
  </r>
  <r>
    <x v="16"/>
    <x v="16"/>
    <x v="0"/>
    <n v="2024"/>
    <x v="2"/>
    <x v="2"/>
    <n v="143"/>
    <n v="279"/>
    <n v="587001.7552447553"/>
    <n v="1.951048951048951"/>
    <n v="359"/>
    <n v="0.39832869080779942"/>
    <n v="83941251"/>
    <n v="32200000"/>
  </r>
  <r>
    <x v="17"/>
    <x v="17"/>
    <x v="0"/>
    <n v="2024"/>
    <x v="2"/>
    <x v="3"/>
    <n v="169"/>
    <n v="293"/>
    <n v="556409.2011834319"/>
    <n v="1.733727810650888"/>
    <n v="359"/>
    <n v="0.47075208913649019"/>
    <n v="94033155"/>
    <n v="48300000"/>
  </r>
  <r>
    <x v="18"/>
    <x v="18"/>
    <x v="0"/>
    <n v="2024"/>
    <x v="2"/>
    <x v="4"/>
    <n v="162"/>
    <n v="263"/>
    <n v="509243.76543209882"/>
    <n v="1.6234567901234569"/>
    <n v="302"/>
    <n v="0.53642384105960261"/>
    <n v="82497490"/>
    <n v="48300000"/>
  </r>
  <r>
    <x v="19"/>
    <x v="19"/>
    <x v="0"/>
    <n v="2024"/>
    <x v="2"/>
    <x v="5"/>
    <n v="175"/>
    <n v="301"/>
    <n v="513565.67428571428"/>
    <n v="1.72"/>
    <n v="346"/>
    <n v="0.5057803468208093"/>
    <n v="89873993"/>
    <n v="64400000"/>
  </r>
  <r>
    <x v="20"/>
    <x v="20"/>
    <x v="0"/>
    <n v="2024"/>
    <x v="2"/>
    <x v="6"/>
    <n v="181"/>
    <n v="301"/>
    <n v="520044.21270718228"/>
    <n v="1.6629834254143649"/>
    <n v="440"/>
    <n v="0.41136363636363638"/>
    <n v="94128002.5"/>
    <n v="64400000"/>
  </r>
  <r>
    <x v="21"/>
    <x v="21"/>
    <x v="0"/>
    <n v="2024"/>
    <x v="3"/>
    <x v="0"/>
    <n v="114"/>
    <n v="285"/>
    <n v="751036.31578947371"/>
    <n v="2.5"/>
    <n v="320"/>
    <n v="0.35625000000000001"/>
    <n v="85618140"/>
    <n v="32200000"/>
  </r>
  <r>
    <x v="22"/>
    <x v="22"/>
    <x v="0"/>
    <n v="2024"/>
    <x v="3"/>
    <x v="1"/>
    <n v="122"/>
    <n v="233"/>
    <n v="587191.63934426231"/>
    <n v="1.9098360655737709"/>
    <n v="295"/>
    <n v="0.41355932203389828"/>
    <n v="71637380"/>
    <n v="32200000"/>
  </r>
  <r>
    <x v="23"/>
    <x v="23"/>
    <x v="0"/>
    <n v="2024"/>
    <x v="3"/>
    <x v="2"/>
    <n v="166"/>
    <n v="264"/>
    <n v="514578.67469879519"/>
    <n v="1.590361445783133"/>
    <n v="389"/>
    <n v="0.42673521850899743"/>
    <n v="85420060"/>
    <n v="32200000"/>
  </r>
  <r>
    <x v="24"/>
    <x v="24"/>
    <x v="0"/>
    <n v="2024"/>
    <x v="3"/>
    <x v="3"/>
    <n v="152"/>
    <n v="247"/>
    <n v="517992.51973684208"/>
    <n v="1.625"/>
    <n v="337"/>
    <n v="0.45103857566765582"/>
    <n v="78734863"/>
    <n v="48300000"/>
  </r>
  <r>
    <x v="25"/>
    <x v="25"/>
    <x v="0"/>
    <n v="2024"/>
    <x v="3"/>
    <x v="4"/>
    <n v="152"/>
    <n v="245"/>
    <n v="521549.91447368421"/>
    <n v="1.611842105263158"/>
    <n v="310"/>
    <n v="0.49032258064516132"/>
    <n v="79275587"/>
    <n v="48300000"/>
  </r>
  <r>
    <x v="26"/>
    <x v="26"/>
    <x v="0"/>
    <n v="2024"/>
    <x v="3"/>
    <x v="5"/>
    <n v="187"/>
    <n v="308"/>
    <n v="527900.85561497323"/>
    <n v="1.6470588235294119"/>
    <n v="415"/>
    <n v="0.45060240963855419"/>
    <n v="98717460"/>
    <n v="64400000"/>
  </r>
  <r>
    <x v="27"/>
    <x v="27"/>
    <x v="0"/>
    <n v="2024"/>
    <x v="3"/>
    <x v="6"/>
    <n v="185"/>
    <n v="330"/>
    <n v="546978.7702702703"/>
    <n v="1.783783783783784"/>
    <n v="418"/>
    <n v="0.44258373205741619"/>
    <n v="101191072.5"/>
    <n v="64400000"/>
  </r>
  <r>
    <x v="28"/>
    <x v="0"/>
    <x v="1"/>
    <n v="2024"/>
    <x v="4"/>
    <x v="3"/>
    <n v="107"/>
    <n v="207"/>
    <n v="561097.29906542052"/>
    <n v="1.934579439252337"/>
    <n v="247"/>
    <n v="0.4331983805668016"/>
    <n v="60037411"/>
    <n v="55000000"/>
  </r>
  <r>
    <x v="29"/>
    <x v="1"/>
    <x v="1"/>
    <n v="2024"/>
    <x v="4"/>
    <x v="4"/>
    <n v="124"/>
    <n v="210"/>
    <n v="490824.75"/>
    <n v="1.693548387096774"/>
    <n v="185"/>
    <n v="0.67027027027027031"/>
    <n v="60862269"/>
    <n v="65000000"/>
  </r>
  <r>
    <x v="30"/>
    <x v="2"/>
    <x v="1"/>
    <n v="2024"/>
    <x v="4"/>
    <x v="5"/>
    <n v="158"/>
    <n v="288"/>
    <n v="535435.97468354425"/>
    <n v="1.822784810126582"/>
    <n v="285"/>
    <n v="0.55438596491228065"/>
    <n v="84598884"/>
    <n v="75000000"/>
  </r>
  <r>
    <x v="31"/>
    <x v="3"/>
    <x v="1"/>
    <n v="2024"/>
    <x v="4"/>
    <x v="6"/>
    <n v="167"/>
    <n v="295"/>
    <n v="523707.75449101801"/>
    <n v="1.766467065868264"/>
    <n v="300"/>
    <n v="0.55666666666666664"/>
    <n v="87459195"/>
    <n v="70000000"/>
  </r>
  <r>
    <x v="32"/>
    <x v="4"/>
    <x v="1"/>
    <n v="2024"/>
    <x v="5"/>
    <x v="0"/>
    <n v="117"/>
    <n v="202"/>
    <n v="518625.55555555562"/>
    <n v="1.726495726495727"/>
    <n v="185"/>
    <n v="0.63243243243243241"/>
    <n v="60679190"/>
    <n v="58000000"/>
  </r>
  <r>
    <x v="33"/>
    <x v="5"/>
    <x v="1"/>
    <n v="2024"/>
    <x v="5"/>
    <x v="1"/>
    <n v="122"/>
    <n v="208"/>
    <n v="502804.13524590159"/>
    <n v="1.7049180327868849"/>
    <n v="180"/>
    <n v="0.67777777777777781"/>
    <n v="61342104.5"/>
    <n v="58000000"/>
  </r>
  <r>
    <x v="34"/>
    <x v="6"/>
    <x v="1"/>
    <n v="2024"/>
    <x v="5"/>
    <x v="2"/>
    <n v="96"/>
    <n v="192"/>
    <n v="601233.59375"/>
    <n v="2"/>
    <n v="155"/>
    <n v="0.61935483870967745"/>
    <n v="57718425"/>
    <n v="58000000"/>
  </r>
  <r>
    <x v="35"/>
    <x v="14"/>
    <x v="1"/>
    <n v="2024"/>
    <x v="6"/>
    <x v="3"/>
    <n v="17"/>
    <n v="31"/>
    <n v="553223.5294117647"/>
    <n v="1.8235294117647061"/>
    <n v="22"/>
    <n v="0.77272727272727271"/>
    <n v="9404800"/>
    <n v="20000000"/>
  </r>
  <r>
    <x v="36"/>
    <x v="15"/>
    <x v="1"/>
    <n v="2024"/>
    <x v="6"/>
    <x v="4"/>
    <n v="26"/>
    <n v="52"/>
    <n v="675055.76923076925"/>
    <n v="2"/>
    <n v="35"/>
    <n v="0.74285714285714288"/>
    <n v="17551450"/>
    <n v="20000000"/>
  </r>
  <r>
    <x v="37"/>
    <x v="16"/>
    <x v="1"/>
    <n v="2024"/>
    <x v="6"/>
    <x v="5"/>
    <n v="38"/>
    <n v="76"/>
    <n v="628702.63157894742"/>
    <n v="2"/>
    <n v="58"/>
    <n v="0.65517241379310343"/>
    <n v="23890700"/>
    <n v="30000000"/>
  </r>
  <r>
    <x v="38"/>
    <x v="17"/>
    <x v="1"/>
    <n v="2024"/>
    <x v="6"/>
    <x v="6"/>
    <n v="47"/>
    <n v="73"/>
    <n v="541845.23404255323"/>
    <n v="1.553191489361702"/>
    <n v="71"/>
    <n v="0.6619718309859155"/>
    <n v="25466726"/>
    <n v="30000000"/>
  </r>
  <r>
    <x v="39"/>
    <x v="18"/>
    <x v="1"/>
    <n v="2024"/>
    <x v="7"/>
    <x v="0"/>
    <n v="30"/>
    <n v="47"/>
    <n v="492232.66666666669"/>
    <n v="1.5666666666666671"/>
    <n v="39"/>
    <n v="0.76923076923076927"/>
    <n v="14766980"/>
    <n v="20000000"/>
  </r>
  <r>
    <x v="40"/>
    <x v="19"/>
    <x v="1"/>
    <n v="2024"/>
    <x v="7"/>
    <x v="1"/>
    <n v="44"/>
    <n v="79"/>
    <n v="597930.22727272729"/>
    <n v="1.795454545454545"/>
    <n v="55"/>
    <n v="0.8"/>
    <n v="26308930"/>
    <n v="20000000"/>
  </r>
  <r>
    <x v="41"/>
    <x v="20"/>
    <x v="1"/>
    <n v="2024"/>
    <x v="7"/>
    <x v="2"/>
    <n v="49"/>
    <n v="81"/>
    <n v="535678.57142857148"/>
    <n v="1.653061224489796"/>
    <n v="61"/>
    <n v="0.80327868852459017"/>
    <n v="26248250"/>
    <n v="25000000"/>
  </r>
  <r>
    <x v="42"/>
    <x v="21"/>
    <x v="1"/>
    <n v="2024"/>
    <x v="7"/>
    <x v="3"/>
    <n v="58"/>
    <n v="85"/>
    <n v="505014.18965517241"/>
    <n v="1.4655172413793101"/>
    <n v="75"/>
    <n v="0.77333333333333332"/>
    <n v="29290823"/>
    <n v="25000000"/>
  </r>
  <r>
    <x v="43"/>
    <x v="22"/>
    <x v="1"/>
    <n v="2024"/>
    <x v="7"/>
    <x v="4"/>
    <n v="46"/>
    <n v="80"/>
    <n v="567584.13043478259"/>
    <n v="1.7391304347826091"/>
    <n v="71"/>
    <n v="0.647887323943662"/>
    <n v="26108870"/>
    <n v="30000000"/>
  </r>
  <r>
    <x v="44"/>
    <x v="23"/>
    <x v="1"/>
    <n v="2024"/>
    <x v="7"/>
    <x v="5"/>
    <n v="73"/>
    <n v="152"/>
    <n v="638727.84246575343"/>
    <n v="2.0821917808219181"/>
    <n v="106"/>
    <n v="0.68867924528301883"/>
    <n v="46627132.5"/>
    <n v="40000000"/>
  </r>
  <r>
    <x v="45"/>
    <x v="24"/>
    <x v="1"/>
    <n v="2024"/>
    <x v="7"/>
    <x v="6"/>
    <n v="60"/>
    <n v="113"/>
    <n v="584930"/>
    <n v="1.8833333333333331"/>
    <n v="79"/>
    <n v="0.759493670886076"/>
    <n v="35095800"/>
    <n v="30000000"/>
  </r>
  <r>
    <x v="46"/>
    <x v="25"/>
    <x v="1"/>
    <n v="2024"/>
    <x v="8"/>
    <x v="0"/>
    <n v="53"/>
    <n v="99"/>
    <n v="516153.39622641512"/>
    <n v="1.867924528301887"/>
    <n v="64"/>
    <n v="0.828125"/>
    <n v="27356130"/>
    <n v="25000000"/>
  </r>
  <r>
    <x v="47"/>
    <x v="26"/>
    <x v="1"/>
    <n v="2024"/>
    <x v="8"/>
    <x v="1"/>
    <n v="52"/>
    <n v="113"/>
    <n v="620771.30769230775"/>
    <n v="2.1730769230769229"/>
    <n v="78"/>
    <n v="0.66666666666666663"/>
    <n v="32280108"/>
    <n v="30000000"/>
  </r>
  <r>
    <x v="48"/>
    <x v="27"/>
    <x v="1"/>
    <n v="2024"/>
    <x v="8"/>
    <x v="2"/>
    <n v="50"/>
    <n v="100"/>
    <n v="568852.25"/>
    <n v="2"/>
    <n v="62"/>
    <n v="0.80645161290322576"/>
    <n v="28442612.5"/>
    <n v="30000000"/>
  </r>
  <r>
    <x v="49"/>
    <x v="28"/>
    <x v="1"/>
    <n v="2024"/>
    <x v="8"/>
    <x v="3"/>
    <n v="57"/>
    <n v="105"/>
    <n v="508893.85964912281"/>
    <n v="1.8421052631578949"/>
    <n v="72"/>
    <n v="0.79166666666666663"/>
    <n v="29006950"/>
    <n v="30000000"/>
  </r>
  <r>
    <x v="50"/>
    <x v="0"/>
    <x v="2"/>
    <n v="2024"/>
    <x v="8"/>
    <x v="4"/>
    <n v="49"/>
    <n v="81"/>
    <n v="507211.14285714278"/>
    <n v="1.653061224489796"/>
    <n v="71"/>
    <n v="0.6901408450704225"/>
    <n v="24853346"/>
    <n v="25000000"/>
  </r>
  <r>
    <x v="51"/>
    <x v="1"/>
    <x v="2"/>
    <n v="2024"/>
    <x v="8"/>
    <x v="5"/>
    <n v="80"/>
    <n v="136"/>
    <n v="530198.38749999995"/>
    <n v="1.7"/>
    <n v="105"/>
    <n v="0.76190476190476186"/>
    <n v="42415871"/>
    <n v="40000000"/>
  </r>
  <r>
    <x v="52"/>
    <x v="2"/>
    <x v="2"/>
    <n v="2024"/>
    <x v="8"/>
    <x v="6"/>
    <n v="71"/>
    <n v="138"/>
    <n v="594965.07042253518"/>
    <n v="1.943661971830986"/>
    <n v="102"/>
    <n v="0.69607843137254899"/>
    <n v="42242520"/>
    <n v="35000000"/>
  </r>
  <r>
    <x v="53"/>
    <x v="3"/>
    <x v="2"/>
    <n v="2024"/>
    <x v="9"/>
    <x v="0"/>
    <n v="47"/>
    <n v="86"/>
    <n v="558985.10637446807"/>
    <n v="1.8297872340425529"/>
    <n v="65"/>
    <n v="0.72307692307692306"/>
    <n v="26272299.999600001"/>
    <n v="28000000"/>
  </r>
  <r>
    <x v="54"/>
    <x v="4"/>
    <x v="2"/>
    <n v="2024"/>
    <x v="9"/>
    <x v="1"/>
    <n v="68"/>
    <n v="124"/>
    <n v="590461.47058676463"/>
    <n v="1.8235294117647061"/>
    <n v="89"/>
    <n v="0.7640449438202247"/>
    <n v="40151379.999899998"/>
    <n v="35000000"/>
  </r>
  <r>
    <x v="55"/>
    <x v="5"/>
    <x v="2"/>
    <n v="2024"/>
    <x v="9"/>
    <x v="2"/>
    <n v="64"/>
    <n v="121"/>
    <n v="568400.26562031254"/>
    <n v="1.890625"/>
    <n v="83"/>
    <n v="0.77108433734939763"/>
    <n v="36377616.999700002"/>
    <n v="35000000"/>
  </r>
  <r>
    <x v="56"/>
    <x v="6"/>
    <x v="2"/>
    <n v="2024"/>
    <x v="9"/>
    <x v="3"/>
    <n v="81"/>
    <n v="160"/>
    <n v="622239.25926543213"/>
    <n v="1.975308641975309"/>
    <n v="122"/>
    <n v="0.66393442622950816"/>
    <n v="50401380.000500001"/>
    <n v="40000000"/>
  </r>
  <r>
    <x v="57"/>
    <x v="7"/>
    <x v="2"/>
    <n v="2024"/>
    <x v="9"/>
    <x v="4"/>
    <n v="54"/>
    <n v="101"/>
    <n v="539701.79629629629"/>
    <n v="1.87037037037037"/>
    <n v="82"/>
    <n v="0.65853658536585369"/>
    <n v="29143897"/>
    <n v="50000000"/>
  </r>
  <r>
    <x v="58"/>
    <x v="8"/>
    <x v="2"/>
    <n v="2024"/>
    <x v="9"/>
    <x v="5"/>
    <n v="87"/>
    <n v="136"/>
    <n v="490290.908045977"/>
    <n v="1.563218390804598"/>
    <n v="128"/>
    <n v="0.6796875"/>
    <n v="42655309"/>
    <n v="45000000"/>
  </r>
  <r>
    <x v="59"/>
    <x v="9"/>
    <x v="2"/>
    <n v="2024"/>
    <x v="9"/>
    <x v="6"/>
    <n v="64"/>
    <n v="117"/>
    <n v="624440.21875"/>
    <n v="1.828125"/>
    <n v="93"/>
    <n v="0.68817204301075274"/>
    <n v="39964174"/>
    <n v="35000000"/>
  </r>
  <r>
    <x v="60"/>
    <x v="10"/>
    <x v="2"/>
    <n v="2024"/>
    <x v="10"/>
    <x v="0"/>
    <n v="65"/>
    <n v="106"/>
    <n v="518712.30769230769"/>
    <n v="1.630769230769231"/>
    <n v="79"/>
    <n v="0.82278481012658233"/>
    <n v="33716300"/>
    <n v="25000000"/>
  </r>
  <r>
    <x v="61"/>
    <x v="11"/>
    <x v="2"/>
    <n v="2024"/>
    <x v="10"/>
    <x v="1"/>
    <n v="49"/>
    <n v="82"/>
    <n v="506501.89795918373"/>
    <n v="1.6734693877551019"/>
    <n v="75"/>
    <n v="0.65333333333333332"/>
    <n v="24818593"/>
    <n v="28000000"/>
  </r>
  <r>
    <x v="62"/>
    <x v="12"/>
    <x v="2"/>
    <n v="2024"/>
    <x v="10"/>
    <x v="2"/>
    <n v="67"/>
    <n v="123"/>
    <n v="558938.34328656725"/>
    <n v="1.835820895522388"/>
    <n v="103"/>
    <n v="0.65048543689320393"/>
    <n v="37448869.000200003"/>
    <n v="28000000"/>
  </r>
  <r>
    <x v="63"/>
    <x v="13"/>
    <x v="2"/>
    <n v="2024"/>
    <x v="10"/>
    <x v="3"/>
    <n v="75"/>
    <n v="139"/>
    <n v="597428.53333333333"/>
    <n v="1.8533333333333331"/>
    <n v="122"/>
    <n v="0.61475409836065575"/>
    <n v="44807140"/>
    <n v="28000000"/>
  </r>
  <r>
    <x v="64"/>
    <x v="14"/>
    <x v="2"/>
    <n v="2024"/>
    <x v="10"/>
    <x v="4"/>
    <n v="75"/>
    <n v="143"/>
    <n v="605854.66666533332"/>
    <n v="1.906666666666667"/>
    <n v="110"/>
    <n v="0.68181818181818177"/>
    <n v="45439099.999899998"/>
    <n v="35000000"/>
  </r>
  <r>
    <x v="65"/>
    <x v="15"/>
    <x v="2"/>
    <n v="2024"/>
    <x v="10"/>
    <x v="5"/>
    <n v="101"/>
    <n v="179"/>
    <n v="545530.6930693069"/>
    <n v="1.7722772277227721"/>
    <n v="140"/>
    <n v="0.72142857142857142"/>
    <n v="55098600"/>
    <n v="40000000"/>
  </r>
  <r>
    <x v="66"/>
    <x v="16"/>
    <x v="2"/>
    <n v="2024"/>
    <x v="10"/>
    <x v="6"/>
    <n v="62"/>
    <n v="119"/>
    <n v="626920.96774193551"/>
    <n v="1.919354838709677"/>
    <n v="101"/>
    <n v="0.61386138613861385"/>
    <n v="38869100"/>
    <n v="35000000"/>
  </r>
  <r>
    <x v="67"/>
    <x v="17"/>
    <x v="2"/>
    <n v="2024"/>
    <x v="11"/>
    <x v="0"/>
    <n v="35"/>
    <n v="87"/>
    <n v="732957.45714285714"/>
    <n v="2.4857142857142862"/>
    <n v="58"/>
    <n v="0.60344827586206895"/>
    <n v="25653511"/>
    <n v="25000000"/>
  </r>
  <r>
    <x v="68"/>
    <x v="18"/>
    <x v="2"/>
    <n v="2024"/>
    <x v="11"/>
    <x v="1"/>
    <n v="55"/>
    <n v="96"/>
    <n v="533650"/>
    <n v="1.7454545454545449"/>
    <n v="79"/>
    <n v="0.69620253164556967"/>
    <n v="29350750"/>
    <n v="28000000"/>
  </r>
  <r>
    <x v="69"/>
    <x v="19"/>
    <x v="2"/>
    <n v="2024"/>
    <x v="11"/>
    <x v="2"/>
    <n v="49"/>
    <n v="85"/>
    <n v="544237.95918367349"/>
    <n v="1.7346938775510199"/>
    <n v="71"/>
    <n v="0.6901408450704225"/>
    <n v="26667660"/>
    <n v="28000000"/>
  </r>
  <r>
    <x v="70"/>
    <x v="20"/>
    <x v="2"/>
    <n v="2024"/>
    <x v="11"/>
    <x v="3"/>
    <n v="47"/>
    <n v="82"/>
    <n v="557445.04255319154"/>
    <n v="1.7446808510638301"/>
    <n v="69"/>
    <n v="0.6811594202898551"/>
    <n v="26199917"/>
    <n v="28000000"/>
  </r>
  <r>
    <x v="71"/>
    <x v="21"/>
    <x v="2"/>
    <n v="2024"/>
    <x v="11"/>
    <x v="4"/>
    <n v="69"/>
    <n v="113"/>
    <n v="521582.84057971009"/>
    <n v="1.63768115942029"/>
    <n v="118"/>
    <n v="0.5847457627118644"/>
    <n v="35989216"/>
    <n v="35000000"/>
  </r>
  <r>
    <x v="72"/>
    <x v="22"/>
    <x v="2"/>
    <n v="2024"/>
    <x v="11"/>
    <x v="5"/>
    <n v="63"/>
    <n v="110"/>
    <n v="531003.17460317456"/>
    <n v="1.746031746031746"/>
    <n v="103"/>
    <n v="0.61165048543689315"/>
    <n v="33453200"/>
    <n v="40000000"/>
  </r>
  <r>
    <x v="73"/>
    <x v="23"/>
    <x v="2"/>
    <n v="2024"/>
    <x v="11"/>
    <x v="6"/>
    <n v="60"/>
    <n v="132"/>
    <n v="654736.33333333337"/>
    <n v="2.2000000000000002"/>
    <n v="104"/>
    <n v="0.57692307692307687"/>
    <n v="39284180"/>
    <n v="35000000"/>
  </r>
  <r>
    <x v="74"/>
    <x v="24"/>
    <x v="2"/>
    <n v="2024"/>
    <x v="12"/>
    <x v="0"/>
    <n v="49"/>
    <n v="84"/>
    <n v="496056.12244897959"/>
    <n v="1.714285714285714"/>
    <n v="72"/>
    <n v="0.68055555555555558"/>
    <n v="24306750"/>
    <n v="20000000"/>
  </r>
  <r>
    <x v="75"/>
    <x v="25"/>
    <x v="2"/>
    <n v="2024"/>
    <x v="12"/>
    <x v="1"/>
    <n v="48"/>
    <n v="96"/>
    <n v="613293.74999791663"/>
    <n v="2"/>
    <n v="63"/>
    <n v="0.76190476190476186"/>
    <n v="29438099.999899998"/>
    <n v="28000000"/>
  </r>
  <r>
    <x v="76"/>
    <x v="26"/>
    <x v="2"/>
    <n v="2024"/>
    <x v="12"/>
    <x v="2"/>
    <n v="48"/>
    <n v="93"/>
    <n v="578016.66666666663"/>
    <n v="1.9375"/>
    <n v="69"/>
    <n v="0.69565217391304346"/>
    <n v="27744800"/>
    <n v="28000000"/>
  </r>
  <r>
    <x v="77"/>
    <x v="27"/>
    <x v="2"/>
    <n v="2024"/>
    <x v="12"/>
    <x v="3"/>
    <n v="57"/>
    <n v="107"/>
    <n v="571685.26315789472"/>
    <n v="1.87719298245614"/>
    <n v="90"/>
    <n v="0.6333333333333333"/>
    <n v="32586060"/>
    <n v="28000000"/>
  </r>
  <r>
    <x v="78"/>
    <x v="28"/>
    <x v="2"/>
    <n v="2024"/>
    <x v="12"/>
    <x v="4"/>
    <n v="60"/>
    <n v="127"/>
    <n v="596345.99999833328"/>
    <n v="2.1166666666666671"/>
    <n v="92"/>
    <n v="0.65217391304347827"/>
    <n v="35780759.999899998"/>
    <n v="35000000"/>
  </r>
  <r>
    <x v="79"/>
    <x v="29"/>
    <x v="2"/>
    <n v="2024"/>
    <x v="12"/>
    <x v="5"/>
    <n v="61"/>
    <n v="135"/>
    <n v="652040.16393442627"/>
    <n v="2.2131147540983611"/>
    <n v="109"/>
    <n v="0.55963302752293576"/>
    <n v="39774450"/>
    <n v="45000000"/>
  </r>
  <r>
    <x v="80"/>
    <x v="30"/>
    <x v="2"/>
    <n v="2024"/>
    <x v="12"/>
    <x v="6"/>
    <n v="69"/>
    <n v="168"/>
    <n v="676731.1594202898"/>
    <n v="2.4347826086956519"/>
    <n v="117"/>
    <n v="0.58974358974358976"/>
    <n v="46694450"/>
    <n v="35000000"/>
  </r>
  <r>
    <x v="81"/>
    <x v="0"/>
    <x v="3"/>
    <n v="2024"/>
    <x v="13"/>
    <x v="0"/>
    <n v="50"/>
    <n v="84"/>
    <n v="499457.68"/>
    <n v="1.68"/>
    <n v="68"/>
    <n v="0.73529411764705888"/>
    <n v="24972884"/>
    <n v="25000000"/>
  </r>
  <r>
    <x v="82"/>
    <x v="1"/>
    <x v="3"/>
    <n v="2024"/>
    <x v="13"/>
    <x v="1"/>
    <n v="54"/>
    <n v="81"/>
    <n v="480965.03703703702"/>
    <n v="1.5"/>
    <n v="91"/>
    <n v="0.59340659340659341"/>
    <n v="25972112"/>
    <n v="25000000"/>
  </r>
  <r>
    <x v="83"/>
    <x v="2"/>
    <x v="3"/>
    <n v="2024"/>
    <x v="13"/>
    <x v="2"/>
    <n v="58"/>
    <n v="100"/>
    <n v="513894.5"/>
    <n v="1.7241379310344831"/>
    <n v="88"/>
    <n v="0.65909090909090906"/>
    <n v="29805881"/>
    <n v="34000000"/>
  </r>
  <r>
    <x v="84"/>
    <x v="3"/>
    <x v="3"/>
    <n v="2024"/>
    <x v="13"/>
    <x v="3"/>
    <n v="54"/>
    <n v="93"/>
    <n v="504557.31481481477"/>
    <n v="1.7222222222222221"/>
    <n v="94"/>
    <n v="0.57446808510638303"/>
    <n v="27246095"/>
    <n v="34000000"/>
  </r>
  <r>
    <x v="85"/>
    <x v="4"/>
    <x v="3"/>
    <n v="2024"/>
    <x v="13"/>
    <x v="4"/>
    <n v="60"/>
    <n v="125"/>
    <n v="590450.83333333337"/>
    <n v="2.083333333333333"/>
    <n v="92"/>
    <n v="0.65217391304347827"/>
    <n v="35427050"/>
    <n v="35000000"/>
  </r>
  <r>
    <x v="86"/>
    <x v="5"/>
    <x v="3"/>
    <n v="2024"/>
    <x v="13"/>
    <x v="5"/>
    <n v="83"/>
    <n v="153"/>
    <n v="546868.67469879519"/>
    <n v="1.8433734939759041"/>
    <n v="124"/>
    <n v="0.66935483870967738"/>
    <n v="45390100"/>
    <n v="45000000"/>
  </r>
  <r>
    <x v="87"/>
    <x v="6"/>
    <x v="3"/>
    <n v="2024"/>
    <x v="13"/>
    <x v="6"/>
    <n v="74"/>
    <n v="129"/>
    <n v="522868.24324324331"/>
    <n v="1.743243243243243"/>
    <n v="119"/>
    <n v="0.62184873949579833"/>
    <n v="38692250"/>
    <n v="40000000"/>
  </r>
  <r>
    <x v="88"/>
    <x v="7"/>
    <x v="3"/>
    <n v="2024"/>
    <x v="14"/>
    <x v="0"/>
    <n v="47"/>
    <n v="86"/>
    <n v="540615.53191489365"/>
    <n v="1.8297872340425529"/>
    <n v="94"/>
    <n v="0.5"/>
    <n v="25408930"/>
    <n v="27000000"/>
  </r>
  <r>
    <x v="89"/>
    <x v="8"/>
    <x v="3"/>
    <n v="2024"/>
    <x v="14"/>
    <x v="1"/>
    <n v="37"/>
    <n v="73"/>
    <n v="574337.83783783787"/>
    <n v="1.972972972972973"/>
    <n v="58"/>
    <n v="0.63793103448275867"/>
    <n v="21250500"/>
    <n v="27000000"/>
  </r>
  <r>
    <x v="90"/>
    <x v="9"/>
    <x v="3"/>
    <n v="2024"/>
    <x v="14"/>
    <x v="2"/>
    <n v="60"/>
    <n v="98"/>
    <n v="498366.5"/>
    <n v="1.6333333333333331"/>
    <n v="92"/>
    <n v="0.65217391304347827"/>
    <n v="29901990"/>
    <n v="35000000"/>
  </r>
  <r>
    <x v="91"/>
    <x v="10"/>
    <x v="3"/>
    <n v="2024"/>
    <x v="14"/>
    <x v="3"/>
    <n v="64"/>
    <n v="132"/>
    <n v="687568.484375"/>
    <n v="2.0625"/>
    <n v="123"/>
    <n v="0.52032520325203258"/>
    <n v="44004383"/>
    <n v="35000000"/>
  </r>
  <r>
    <x v="92"/>
    <x v="11"/>
    <x v="3"/>
    <n v="2024"/>
    <x v="14"/>
    <x v="4"/>
    <n v="62"/>
    <n v="110"/>
    <n v="554914.51612903224"/>
    <n v="1.774193548387097"/>
    <n v="106"/>
    <n v="0.58490566037735847"/>
    <n v="34404700"/>
    <n v="35000000"/>
  </r>
  <r>
    <x v="93"/>
    <x v="12"/>
    <x v="3"/>
    <n v="2024"/>
    <x v="14"/>
    <x v="5"/>
    <n v="84"/>
    <n v="151"/>
    <n v="548538.69047619053"/>
    <n v="1.7976190476190479"/>
    <n v="152"/>
    <n v="0.55263157894736847"/>
    <n v="46077250"/>
    <n v="45000000"/>
  </r>
  <r>
    <x v="94"/>
    <x v="13"/>
    <x v="3"/>
    <n v="2024"/>
    <x v="14"/>
    <x v="6"/>
    <n v="95"/>
    <n v="184"/>
    <n v="599647.75789473683"/>
    <n v="1.9368421052631579"/>
    <n v="149"/>
    <n v="0.63758389261744963"/>
    <n v="56966537"/>
    <n v="40000000"/>
  </r>
  <r>
    <x v="95"/>
    <x v="14"/>
    <x v="3"/>
    <n v="2024"/>
    <x v="15"/>
    <x v="0"/>
    <n v="74"/>
    <n v="143"/>
    <n v="528684.0202702703"/>
    <n v="1.932432432432432"/>
    <n v="114"/>
    <n v="0.64912280701754388"/>
    <n v="39122617.5"/>
    <n v="35000000"/>
  </r>
  <r>
    <x v="96"/>
    <x v="15"/>
    <x v="3"/>
    <n v="2024"/>
    <x v="15"/>
    <x v="1"/>
    <n v="94"/>
    <n v="196"/>
    <n v="564484.38829787239"/>
    <n v="2.085106382978724"/>
    <n v="129"/>
    <n v="0.72868217054263562"/>
    <n v="53061532.5"/>
    <n v="40000000"/>
  </r>
  <r>
    <x v="97"/>
    <x v="16"/>
    <x v="3"/>
    <n v="2024"/>
    <x v="15"/>
    <x v="2"/>
    <n v="85"/>
    <n v="145"/>
    <n v="459421"/>
    <n v="1.705882352941176"/>
    <n v="108"/>
    <n v="0.78703703703703709"/>
    <n v="39050785"/>
    <n v="40000000"/>
  </r>
  <r>
    <x v="98"/>
    <x v="17"/>
    <x v="3"/>
    <n v="2024"/>
    <x v="15"/>
    <x v="3"/>
    <n v="130"/>
    <n v="251"/>
    <n v="512288.19615384622"/>
    <n v="1.930769230769231"/>
    <n v="192"/>
    <n v="0.67708333333333337"/>
    <n v="66597465.5"/>
    <n v="40000000"/>
  </r>
  <r>
    <x v="99"/>
    <x v="18"/>
    <x v="3"/>
    <n v="2024"/>
    <x v="15"/>
    <x v="4"/>
    <n v="105"/>
    <n v="188"/>
    <n v="447947.6"/>
    <n v="1.790476190476191"/>
    <n v="144"/>
    <n v="0.72916666666666663"/>
    <n v="47034498"/>
    <n v="45000000"/>
  </r>
  <r>
    <x v="100"/>
    <x v="19"/>
    <x v="3"/>
    <n v="2024"/>
    <x v="15"/>
    <x v="5"/>
    <n v="65"/>
    <n v="114"/>
    <n v="511537.69230769231"/>
    <n v="1.7538461538461541"/>
    <n v="114"/>
    <n v="0.57017543859649122"/>
    <n v="33249950"/>
    <n v="55000000"/>
  </r>
  <r>
    <x v="101"/>
    <x v="20"/>
    <x v="3"/>
    <n v="2024"/>
    <x v="15"/>
    <x v="6"/>
    <n v="73"/>
    <n v="148"/>
    <n v="557596.57534246577"/>
    <n v="2.0273972602739732"/>
    <n v="122"/>
    <n v="0.59836065573770492"/>
    <n v="40704550"/>
    <n v="50000000"/>
  </r>
  <r>
    <x v="102"/>
    <x v="21"/>
    <x v="3"/>
    <n v="2024"/>
    <x v="16"/>
    <x v="0"/>
    <n v="42"/>
    <n v="61"/>
    <n v="473694.04761904757"/>
    <n v="1.4523809523809521"/>
    <n v="59"/>
    <n v="0.71186440677966101"/>
    <n v="19895150"/>
    <n v="28000000"/>
  </r>
  <r>
    <x v="103"/>
    <x v="22"/>
    <x v="3"/>
    <n v="2024"/>
    <x v="16"/>
    <x v="1"/>
    <n v="56"/>
    <n v="123"/>
    <n v="652824.10714285716"/>
    <n v="2.1964285714285721"/>
    <n v="85"/>
    <n v="0.6588235294117647"/>
    <n v="36558150"/>
    <n v="28000000"/>
  </r>
  <r>
    <x v="104"/>
    <x v="23"/>
    <x v="3"/>
    <n v="2024"/>
    <x v="16"/>
    <x v="2"/>
    <n v="51"/>
    <n v="92"/>
    <n v="555174.50980392157"/>
    <n v="1.803921568627451"/>
    <n v="81"/>
    <n v="0.62962962962962965"/>
    <n v="28313900"/>
    <n v="35000000"/>
  </r>
  <r>
    <x v="105"/>
    <x v="24"/>
    <x v="3"/>
    <n v="2024"/>
    <x v="16"/>
    <x v="3"/>
    <n v="66"/>
    <n v="132"/>
    <n v="590920.40909090906"/>
    <n v="2"/>
    <n v="95"/>
    <n v="0.69473684210526321"/>
    <n v="39000747"/>
    <n v="35000000"/>
  </r>
  <r>
    <x v="106"/>
    <x v="25"/>
    <x v="3"/>
    <n v="2024"/>
    <x v="16"/>
    <x v="4"/>
    <n v="59"/>
    <n v="92"/>
    <n v="494997.45762711862"/>
    <n v="1.5593220338983049"/>
    <n v="110"/>
    <n v="0.53636363636363638"/>
    <n v="29204850"/>
    <n v="35000000"/>
  </r>
  <r>
    <x v="107"/>
    <x v="26"/>
    <x v="3"/>
    <n v="2024"/>
    <x v="16"/>
    <x v="5"/>
    <n v="50"/>
    <n v="94"/>
    <n v="559128"/>
    <n v="1.88"/>
    <n v="101"/>
    <n v="0.49504950495049499"/>
    <n v="27956400"/>
    <n v="45000000"/>
  </r>
  <r>
    <x v="108"/>
    <x v="27"/>
    <x v="3"/>
    <n v="2024"/>
    <x v="16"/>
    <x v="6"/>
    <n v="36"/>
    <n v="60"/>
    <n v="513855.55555555562"/>
    <n v="1.666666666666667"/>
    <n v="66"/>
    <n v="0.54545454545454541"/>
    <n v="18498800"/>
    <n v="40000000"/>
  </r>
  <r>
    <x v="109"/>
    <x v="28"/>
    <x v="3"/>
    <n v="2024"/>
    <x v="17"/>
    <x v="0"/>
    <n v="36"/>
    <n v="74"/>
    <n v="605664.72222222225"/>
    <n v="2.0555555555555549"/>
    <n v="52"/>
    <n v="0.69230769230769229"/>
    <n v="21803930"/>
    <n v="25000000"/>
  </r>
  <r>
    <x v="110"/>
    <x v="29"/>
    <x v="3"/>
    <n v="2024"/>
    <x v="17"/>
    <x v="1"/>
    <n v="36"/>
    <n v="69"/>
    <n v="624237.5"/>
    <n v="1.916666666666667"/>
    <n v="52"/>
    <n v="0.69230769230769229"/>
    <n v="22472550"/>
    <n v="28000000"/>
  </r>
  <r>
    <x v="111"/>
    <x v="0"/>
    <x v="4"/>
    <n v="2024"/>
    <x v="17"/>
    <x v="2"/>
    <n v="40"/>
    <n v="78"/>
    <n v="606812.5"/>
    <n v="1.95"/>
    <n v="54"/>
    <n v="0.7407407407407407"/>
    <n v="24272500"/>
    <n v="30000000"/>
  </r>
  <r>
    <x v="112"/>
    <x v="1"/>
    <x v="4"/>
    <n v="2024"/>
    <x v="17"/>
    <x v="3"/>
    <n v="41"/>
    <n v="84"/>
    <n v="645108.78048780491"/>
    <n v="2.0487804878048781"/>
    <n v="65"/>
    <n v="0.63076923076923075"/>
    <n v="26449460"/>
    <n v="30000000"/>
  </r>
  <r>
    <x v="113"/>
    <x v="2"/>
    <x v="4"/>
    <n v="2024"/>
    <x v="17"/>
    <x v="4"/>
    <n v="43"/>
    <n v="64"/>
    <n v="440679.06976744178"/>
    <n v="1.488372093023256"/>
    <n v="60"/>
    <n v="0.71666666666666667"/>
    <n v="18949200"/>
    <n v="35000000"/>
  </r>
  <r>
    <x v="114"/>
    <x v="3"/>
    <x v="4"/>
    <n v="2024"/>
    <x v="17"/>
    <x v="5"/>
    <n v="58"/>
    <n v="136"/>
    <n v="665967.24137931038"/>
    <n v="2.3448275862068959"/>
    <n v="84"/>
    <n v="0.69047619047619047"/>
    <n v="38626100"/>
    <n v="45000000"/>
  </r>
  <r>
    <x v="115"/>
    <x v="4"/>
    <x v="4"/>
    <n v="2024"/>
    <x v="17"/>
    <x v="6"/>
    <n v="79"/>
    <n v="149"/>
    <n v="571957.70886075951"/>
    <n v="1.8860759493670891"/>
    <n v="118"/>
    <n v="0.66949152542372881"/>
    <n v="45184659"/>
    <n v="40000000"/>
  </r>
  <r>
    <x v="116"/>
    <x v="5"/>
    <x v="4"/>
    <n v="2024"/>
    <x v="18"/>
    <x v="0"/>
    <n v="32"/>
    <n v="75"/>
    <n v="655988.09375"/>
    <n v="2.34375"/>
    <n v="48"/>
    <n v="0.66666666666666663"/>
    <n v="20991619"/>
    <n v="28000000"/>
  </r>
  <r>
    <x v="117"/>
    <x v="6"/>
    <x v="4"/>
    <n v="2024"/>
    <x v="18"/>
    <x v="1"/>
    <n v="36"/>
    <n v="54"/>
    <n v="470505.55555555562"/>
    <n v="1.5"/>
    <n v="43"/>
    <n v="0.83720930232558144"/>
    <n v="16938200"/>
    <n v="28000000"/>
  </r>
  <r>
    <x v="118"/>
    <x v="7"/>
    <x v="4"/>
    <n v="2024"/>
    <x v="18"/>
    <x v="2"/>
    <n v="49"/>
    <n v="109"/>
    <n v="643379.59183673467"/>
    <n v="2.2244897959183669"/>
    <n v="67"/>
    <n v="0.73134328358208955"/>
    <n v="31525600"/>
    <n v="34000000"/>
  </r>
  <r>
    <x v="119"/>
    <x v="8"/>
    <x v="4"/>
    <n v="2024"/>
    <x v="18"/>
    <x v="3"/>
    <n v="64"/>
    <n v="113"/>
    <n v="552936.328125"/>
    <n v="1.765625"/>
    <n v="91"/>
    <n v="0.70329670329670335"/>
    <n v="35387925"/>
    <n v="34000000"/>
  </r>
  <r>
    <x v="120"/>
    <x v="9"/>
    <x v="4"/>
    <n v="2024"/>
    <x v="18"/>
    <x v="4"/>
    <n v="72"/>
    <n v="103"/>
    <n v="448213.19444444438"/>
    <n v="1.430555555555556"/>
    <n v="93"/>
    <n v="0.77419354838709675"/>
    <n v="32271350"/>
    <n v="37000000"/>
  </r>
  <r>
    <x v="121"/>
    <x v="10"/>
    <x v="4"/>
    <n v="2024"/>
    <x v="18"/>
    <x v="5"/>
    <n v="92"/>
    <n v="164"/>
    <n v="503856.95652173908"/>
    <n v="1.7826086956521741"/>
    <n v="127"/>
    <n v="0.72440944881889768"/>
    <n v="46354840"/>
    <n v="45000000"/>
  </r>
  <r>
    <x v="122"/>
    <x v="11"/>
    <x v="4"/>
    <n v="2024"/>
    <x v="18"/>
    <x v="6"/>
    <n v="73"/>
    <n v="118"/>
    <n v="520800.68493150693"/>
    <n v="1.616438356164384"/>
    <n v="103"/>
    <n v="0.70873786407766992"/>
    <n v="38018450"/>
    <n v="45000000"/>
  </r>
  <r>
    <x v="123"/>
    <x v="12"/>
    <x v="4"/>
    <n v="2024"/>
    <x v="19"/>
    <x v="0"/>
    <n v="38"/>
    <n v="89"/>
    <n v="783220.92105263157"/>
    <n v="2.3421052631578951"/>
    <n v="58"/>
    <n v="0.65517241379310343"/>
    <n v="29762395"/>
    <n v="28000000"/>
  </r>
  <r>
    <x v="124"/>
    <x v="13"/>
    <x v="4"/>
    <n v="2024"/>
    <x v="19"/>
    <x v="1"/>
    <n v="49"/>
    <n v="86"/>
    <n v="556255.89795918367"/>
    <n v="1.755102040816326"/>
    <n v="69"/>
    <n v="0.71014492753623193"/>
    <n v="27256539"/>
    <n v="28000000"/>
  </r>
  <r>
    <x v="125"/>
    <x v="14"/>
    <x v="4"/>
    <n v="2024"/>
    <x v="19"/>
    <x v="2"/>
    <n v="28"/>
    <n v="49"/>
    <n v="489601.78571428568"/>
    <n v="1.75"/>
    <n v="35"/>
    <n v="0.8"/>
    <n v="13708850"/>
    <n v="34000000"/>
  </r>
  <r>
    <x v="126"/>
    <x v="15"/>
    <x v="4"/>
    <n v="2024"/>
    <x v="19"/>
    <x v="3"/>
    <n v="103"/>
    <n v="184"/>
    <n v="501944.56310679612"/>
    <n v="1.7864077669902909"/>
    <n v="156"/>
    <n v="0.66025641025641024"/>
    <n v="51700290"/>
    <n v="34000000"/>
  </r>
  <r>
    <x v="127"/>
    <x v="16"/>
    <x v="4"/>
    <n v="2024"/>
    <x v="19"/>
    <x v="4"/>
    <n v="108"/>
    <n v="217"/>
    <n v="547900"/>
    <n v="2.0092592592592591"/>
    <n v="152"/>
    <n v="0.71052631578947367"/>
    <n v="59173200"/>
    <n v="37000000"/>
  </r>
  <r>
    <x v="128"/>
    <x v="17"/>
    <x v="4"/>
    <n v="2024"/>
    <x v="19"/>
    <x v="5"/>
    <n v="105"/>
    <n v="195"/>
    <n v="512594.76190476189"/>
    <n v="1.857142857142857"/>
    <n v="145"/>
    <n v="0.72413793103448276"/>
    <n v="53822450"/>
    <n v="45000000"/>
  </r>
  <r>
    <x v="129"/>
    <x v="18"/>
    <x v="4"/>
    <n v="2024"/>
    <x v="19"/>
    <x v="6"/>
    <n v="113"/>
    <n v="185"/>
    <n v="479977.4336283186"/>
    <n v="1.63716814159292"/>
    <n v="153"/>
    <n v="0.73856209150326801"/>
    <n v="54237450"/>
    <n v="40000000"/>
  </r>
  <r>
    <x v="130"/>
    <x v="19"/>
    <x v="4"/>
    <n v="2024"/>
    <x v="20"/>
    <x v="0"/>
    <n v="45"/>
    <n v="94"/>
    <n v="617880.47777777782"/>
    <n v="2.088888888888889"/>
    <n v="72"/>
    <n v="0.625"/>
    <n v="27804621.5"/>
    <n v="28000000"/>
  </r>
  <r>
    <x v="131"/>
    <x v="20"/>
    <x v="4"/>
    <n v="2024"/>
    <x v="20"/>
    <x v="1"/>
    <n v="38"/>
    <n v="64"/>
    <n v="530976.31578947371"/>
    <n v="1.6842105263157889"/>
    <n v="58"/>
    <n v="0.65517241379310343"/>
    <n v="20177100"/>
    <n v="28000000"/>
  </r>
  <r>
    <x v="132"/>
    <x v="21"/>
    <x v="4"/>
    <n v="2024"/>
    <x v="20"/>
    <x v="2"/>
    <n v="75"/>
    <n v="120"/>
    <n v="530286"/>
    <n v="1.6"/>
    <n v="98"/>
    <n v="0.76530612244897955"/>
    <n v="39771450"/>
    <n v="34000000"/>
  </r>
  <r>
    <x v="133"/>
    <x v="22"/>
    <x v="4"/>
    <n v="2024"/>
    <x v="20"/>
    <x v="3"/>
    <n v="74"/>
    <n v="148"/>
    <n v="598390.2702702703"/>
    <n v="2"/>
    <n v="105"/>
    <n v="0.70476190476190481"/>
    <n v="44280880"/>
    <n v="34000000"/>
  </r>
  <r>
    <x v="134"/>
    <x v="23"/>
    <x v="4"/>
    <n v="2024"/>
    <x v="20"/>
    <x v="4"/>
    <n v="83"/>
    <n v="167"/>
    <n v="633645.06024096382"/>
    <n v="2.012048192771084"/>
    <n v="123"/>
    <n v="0.67479674796747968"/>
    <n v="52592540"/>
    <n v="35000000"/>
  </r>
  <r>
    <x v="135"/>
    <x v="24"/>
    <x v="4"/>
    <n v="2024"/>
    <x v="20"/>
    <x v="5"/>
    <n v="93"/>
    <n v="163"/>
    <n v="545201.61290322582"/>
    <n v="1.752688172043011"/>
    <n v="128"/>
    <n v="0.7265625"/>
    <n v="50703750"/>
    <n v="45000000"/>
  </r>
  <r>
    <x v="136"/>
    <x v="25"/>
    <x v="4"/>
    <n v="2024"/>
    <x v="20"/>
    <x v="6"/>
    <n v="75"/>
    <n v="138"/>
    <n v="578812.8666666667"/>
    <n v="1.84"/>
    <n v="122"/>
    <n v="0.61475409836065575"/>
    <n v="43410965"/>
    <n v="4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E1288-1232-41BA-A324-531BD7BBBAFF}" name="Rev&amp;T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C12" firstHeaderRow="0" firstDataRow="1" firstDataCol="1"/>
  <pivotFields count="16">
    <pivotField numFmtId="164"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axis="axisRow" showAll="0">
      <items count="6">
        <item x="0"/>
        <item x="1"/>
        <item x="2"/>
        <item x="3"/>
        <item x="4"/>
        <item t="default"/>
      </items>
    </pivotField>
    <pivotField showAll="0"/>
    <pivotField showAll="0"/>
    <pivotField showAll="0">
      <items count="8">
        <item x="0"/>
        <item x="1"/>
        <item x="2"/>
        <item x="3"/>
        <item x="4"/>
        <item x="5"/>
        <item x="6"/>
        <item t="default"/>
      </items>
    </pivotField>
    <pivotField showAll="0"/>
    <pivotField showAll="0"/>
    <pivotField numFmtId="165" showAll="0"/>
    <pivotField showAll="0"/>
    <pivotField showAll="0"/>
    <pivotField numFmtId="10" showAll="0"/>
    <pivotField dataField="1" numFmtId="165"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Sum of Revenue" fld="12" baseField="0" baseItem="0" numFmtId="165"/>
    <dataField name="Sum of Target by Day" fld="13" baseField="0" baseItem="0" numFmtId="165"/>
  </dataFields>
  <formats count="2">
    <format dxfId="1">
      <pivotArea collapsedLevelsAreSubtotals="1" fieldPosition="0">
        <references count="2">
          <reference field="4294967294" count="1" selected="0">
            <x v="1"/>
          </reference>
          <reference field="2" count="0"/>
        </references>
      </pivotArea>
    </format>
    <format dxfId="0">
      <pivotArea collapsedLevelsAreSubtotals="1" fieldPosition="0">
        <references count="2">
          <reference field="4294967294" count="1" selected="0">
            <x v="0"/>
          </reference>
          <reference field="2" count="0"/>
        </references>
      </pivotArea>
    </format>
  </format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2" count="1" selected="0">
            <x v="1"/>
          </reference>
        </references>
      </pivotArea>
    </chartFormat>
    <chartFormat chart="11" format="12">
      <pivotArea type="data" outline="0" fieldPosition="0">
        <references count="2">
          <reference field="4294967294" count="1" selected="0">
            <x v="0"/>
          </reference>
          <reference field="2" count="1" selected="0">
            <x v="2"/>
          </reference>
        </references>
      </pivotArea>
    </chartFormat>
    <chartFormat chart="11" format="13">
      <pivotArea type="data" outline="0" fieldPosition="0">
        <references count="2">
          <reference field="4294967294" count="1" selected="0">
            <x v="0"/>
          </reference>
          <reference field="2" count="1" selected="0">
            <x v="3"/>
          </reference>
        </references>
      </pivotArea>
    </chartFormat>
    <chartFormat chart="11"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250639-F354-45CF-A5A5-1F5A7BF0E66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O1:Q9" firstHeaderRow="0" firstDataRow="1" firstDataCol="1"/>
  <pivotFields count="16">
    <pivotField numFmtId="164"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showAll="0">
      <items count="6">
        <item x="0"/>
        <item x="1"/>
        <item x="2"/>
        <item x="3"/>
        <item x="4"/>
        <item t="default"/>
      </items>
    </pivotField>
    <pivotField showAll="0"/>
    <pivotField showAll="0"/>
    <pivotField axis="axisRow" showAll="0">
      <items count="8">
        <item x="0"/>
        <item x="1"/>
        <item x="2"/>
        <item x="3"/>
        <item x="4"/>
        <item x="5"/>
        <item x="6"/>
        <item t="default"/>
      </items>
    </pivotField>
    <pivotField showAll="0"/>
    <pivotField showAll="0"/>
    <pivotField numFmtId="165" showAll="0"/>
    <pivotField showAll="0"/>
    <pivotField dataField="1" showAll="0"/>
    <pivotField dataField="1" numFmtId="10" showAll="0"/>
    <pivotField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Fields count="1">
    <field x="-2"/>
  </colFields>
  <colItems count="2">
    <i>
      <x/>
    </i>
    <i i="1">
      <x v="1"/>
    </i>
  </colItems>
  <dataFields count="2">
    <dataField name="Average of Traffic" fld="10" subtotal="average" baseField="0" baseItem="0"/>
    <dataField name="Average of Conversion Rate" fld="11" subtotal="average" baseField="0" baseItem="0" numFmtId="10"/>
  </dataFields>
  <formats count="1">
    <format dxfId="2">
      <pivotArea collapsedLevelsAreSubtotals="1" fieldPosition="0">
        <references count="2">
          <reference field="4294967294" count="1" selected="0">
            <x v="0"/>
          </reference>
          <reference field="5" count="0"/>
        </references>
      </pivotArea>
    </format>
  </formats>
  <chartFormats count="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6313D3-FD83-41C2-9C94-3337F310F22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27:N35" firstHeaderRow="0" firstDataRow="1" firstDataCol="1"/>
  <pivotFields count="16">
    <pivotField numFmtId="164"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showAll="0">
      <items count="6">
        <item x="0"/>
        <item x="1"/>
        <item x="2"/>
        <item x="3"/>
        <item x="4"/>
        <item t="default"/>
      </items>
    </pivotField>
    <pivotField showAll="0"/>
    <pivotField showAll="0"/>
    <pivotField axis="axisRow" showAll="0">
      <items count="8">
        <item x="0"/>
        <item x="1"/>
        <item x="2"/>
        <item x="3"/>
        <item x="4"/>
        <item x="5"/>
        <item x="6"/>
        <item t="default"/>
      </items>
    </pivotField>
    <pivotField showAll="0"/>
    <pivotField showAll="0"/>
    <pivotField dataField="1" numFmtId="165" showAll="0"/>
    <pivotField dataField="1" showAll="0"/>
    <pivotField showAll="0"/>
    <pivotField numFmtId="10" showAll="0"/>
    <pivotField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Fields count="1">
    <field x="-2"/>
  </colFields>
  <colItems count="2">
    <i>
      <x/>
    </i>
    <i i="1">
      <x v="1"/>
    </i>
  </colItems>
  <dataFields count="2">
    <dataField name="Average of APT" fld="8" subtotal="average" baseField="0" baseItem="0" numFmtId="165"/>
    <dataField name="Average of UPT" fld="9" subtotal="average" baseField="0" baseItem="0"/>
  </dataFields>
  <chartFormats count="4">
    <chartFormat chart="12"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CA9D72-31D7-4D0B-A3E4-B9D65E2DB67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6">
    <pivotField numFmtId="164"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showAll="0">
      <items count="6">
        <item x="0"/>
        <item x="1"/>
        <item x="2"/>
        <item x="3"/>
        <item x="4"/>
        <item t="default"/>
      </items>
    </pivotField>
    <pivotField showAll="0"/>
    <pivotField showAll="0"/>
    <pivotField showAll="0">
      <items count="8">
        <item x="0"/>
        <item x="1"/>
        <item x="2"/>
        <item x="3"/>
        <item x="4"/>
        <item x="5"/>
        <item x="6"/>
        <item t="default"/>
      </items>
    </pivotField>
    <pivotField showAll="0"/>
    <pivotField dataField="1" showAll="0"/>
    <pivotField dataField="1" numFmtId="165" showAll="0"/>
    <pivotField dataField="1" showAll="0"/>
    <pivotField showAll="0"/>
    <pivotField dataField="1" numFmtId="10" showAll="0"/>
    <pivotField dataField="1"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Sum of Revenue" fld="12" baseField="0" baseItem="0" numFmtId="165"/>
    <dataField name="Sum of Unit" fld="7" baseField="0" baseItem="0"/>
    <dataField name="Average of Conversion Rate" fld="11" subtotal="average" baseField="0" baseItem="0" numFmtId="10"/>
    <dataField name="Average of APT" fld="8" subtotal="average" baseField="0" baseItem="0" numFmtId="165"/>
    <dataField name="Average of UPT" fld="9" subtotal="average" baseField="0" baseItem="0" numFmtId="2"/>
  </dataFields>
  <formats count="1">
    <format dxfId="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E034F-E9E5-43DC-9FB5-8FD4D5FE46EA}" name="WeeklyRe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7:B59" firstHeaderRow="1" firstDataRow="1" firstDataCol="1"/>
  <pivotFields count="16">
    <pivotField numFmtId="164"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0"/>
        <item x="1"/>
        <item x="2"/>
        <item x="3"/>
        <item x="4"/>
        <item t="default"/>
      </items>
    </pivotField>
    <pivotField showAll="0"/>
    <pivotField axis="axisRow" showAll="0">
      <items count="22">
        <item x="0"/>
        <item x="1"/>
        <item x="2"/>
        <item x="3"/>
        <item x="4"/>
        <item x="5"/>
        <item x="6"/>
        <item x="7"/>
        <item x="8"/>
        <item x="9"/>
        <item x="10"/>
        <item x="11"/>
        <item x="12"/>
        <item x="13"/>
        <item x="14"/>
        <item x="15"/>
        <item x="16"/>
        <item x="17"/>
        <item x="18"/>
        <item x="19"/>
        <item x="20"/>
        <item t="default"/>
      </items>
    </pivotField>
    <pivotField showAll="0">
      <items count="8">
        <item x="0"/>
        <item x="1"/>
        <item x="2"/>
        <item x="3"/>
        <item x="4"/>
        <item x="5"/>
        <item x="6"/>
        <item t="default"/>
      </items>
    </pivotField>
    <pivotField showAll="0"/>
    <pivotField showAll="0"/>
    <pivotField numFmtId="165" showAll="0"/>
    <pivotField showAll="0"/>
    <pivotField showAll="0"/>
    <pivotField numFmtId="10" showAll="0"/>
    <pivotField dataField="1"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Revenue" fld="12" baseField="0" baseItem="0" numFmtId="165"/>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4783E9-3CDB-47A8-84A0-B7D888DA1C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L1:N9" firstHeaderRow="0" firstDataRow="1" firstDataCol="1"/>
  <pivotFields count="16">
    <pivotField numFmtId="164"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showAll="0">
      <items count="6">
        <item x="0"/>
        <item x="1"/>
        <item x="2"/>
        <item x="3"/>
        <item x="4"/>
        <item t="default"/>
      </items>
    </pivotField>
    <pivotField showAll="0"/>
    <pivotField showAll="0"/>
    <pivotField axis="axisRow" showAll="0">
      <items count="8">
        <item x="0"/>
        <item x="1"/>
        <item x="2"/>
        <item x="3"/>
        <item x="4"/>
        <item x="5"/>
        <item x="6"/>
        <item t="default"/>
      </items>
    </pivotField>
    <pivotField showAll="0"/>
    <pivotField showAll="0"/>
    <pivotField numFmtId="165" showAll="0"/>
    <pivotField showAll="0"/>
    <pivotField showAll="0"/>
    <pivotField dataField="1" numFmtId="10" showAll="0"/>
    <pivotField dataField="1"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Fields count="1">
    <field x="-2"/>
  </colFields>
  <colItems count="2">
    <i>
      <x/>
    </i>
    <i i="1">
      <x v="1"/>
    </i>
  </colItems>
  <dataFields count="2">
    <dataField name="Average of Revenue" fld="12" subtotal="average" baseField="0" baseItem="0" numFmtId="165"/>
    <dataField name="Average of Conversion Rate" fld="11" subtotal="average" baseField="0" baseItem="0" numFmtId="10"/>
  </dataFields>
  <chartFormats count="9">
    <chartFormat chart="8" format="0"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 chart="8" format="3">
      <pivotArea type="data" outline="0" fieldPosition="0">
        <references count="2">
          <reference field="4294967294" count="1" selected="0">
            <x v="0"/>
          </reference>
          <reference field="5" count="1" selected="0">
            <x v="2"/>
          </reference>
        </references>
      </pivotArea>
    </chartFormat>
    <chartFormat chart="8" format="4">
      <pivotArea type="data" outline="0" fieldPosition="0">
        <references count="2">
          <reference field="4294967294" count="1" selected="0">
            <x v="0"/>
          </reference>
          <reference field="5" count="1" selected="0">
            <x v="4"/>
          </reference>
        </references>
      </pivotArea>
    </chartFormat>
    <chartFormat chart="8" format="6"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6F4B46-350E-48EC-9FC1-5AEEDC806486}" name="Trafic&amp;C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C26" firstHeaderRow="0" firstDataRow="1" firstDataCol="1"/>
  <pivotFields count="16">
    <pivotField numFmtId="164" showAll="0">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pivotField axis="axisRow" showAll="0">
      <items count="6">
        <item x="0"/>
        <item x="1"/>
        <item x="2"/>
        <item x="3"/>
        <item x="4"/>
        <item t="default"/>
      </items>
    </pivotField>
    <pivotField showAll="0"/>
    <pivotField showAll="0"/>
    <pivotField showAll="0">
      <items count="8">
        <item x="0"/>
        <item x="1"/>
        <item x="2"/>
        <item x="3"/>
        <item x="4"/>
        <item x="5"/>
        <item x="6"/>
        <item t="default"/>
      </items>
    </pivotField>
    <pivotField showAll="0"/>
    <pivotField showAll="0"/>
    <pivotField numFmtId="165" showAll="0"/>
    <pivotField showAll="0"/>
    <pivotField dataField="1" showAll="0"/>
    <pivotField dataField="1" numFmtId="10" showAll="0"/>
    <pivotField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Average of Conversion Rate" fld="11" subtotal="average" baseField="0" baseItem="0" numFmtId="10"/>
    <dataField name="Average of Traffic" fld="10" subtotal="average" baseField="0" baseItem="0"/>
  </dataFields>
  <formats count="2">
    <format dxfId="5">
      <pivotArea collapsedLevelsAreSubtotals="1" fieldPosition="0">
        <references count="2">
          <reference field="4294967294" count="1" selected="0">
            <x v="1"/>
          </reference>
          <reference field="2" count="0"/>
        </references>
      </pivotArea>
    </format>
    <format dxfId="4">
      <pivotArea collapsedLevelsAreSubtotals="1" fieldPosition="0">
        <references count="2">
          <reference field="4294967294" count="1" selected="0">
            <x v="0"/>
          </reference>
          <reference field="2" count="0"/>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271962C-E672-4BF0-BA72-1B4076AC605F}" sourceName="Month">
  <pivotTables>
    <pivotTable tabId="2" name="PivotTable5"/>
    <pivotTable tabId="2" name="PivotTable7"/>
    <pivotTable tabId="2" name="PivotTable8"/>
    <pivotTable tabId="2" name="KPI"/>
  </pivotTables>
  <data>
    <tabular pivotCacheId="78328264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45438BB-DB48-4A41-9A51-A2DE64C0CC4C}" sourceName="Weekday">
  <pivotTables>
    <pivotTable tabId="2" name="PivotTable7"/>
    <pivotTable tabId="2" name="KPI"/>
    <pivotTable tabId="2" name="PivotTable5"/>
    <pivotTable tabId="2" name="PivotTable8"/>
    <pivotTable tabId="2" name="Rev&amp;Tar"/>
    <pivotTable tabId="2" name="Trafic&amp;CR"/>
    <pivotTable tabId="2" name="WeeklyRev"/>
  </pivotTables>
  <data>
    <tabular pivotCacheId="783282645">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E88F6A7-D15D-4897-BFB1-6712AA79FF81}" cache="Slicer_Month" caption="Month" rowHeight="241300"/>
  <slicer name="Weekday" xr10:uid="{BCC99934-A2B7-4085-B10E-72D94E7E9DF8}" cache="Slicer_Weekday" caption="Weekda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8"/>
  <sheetViews>
    <sheetView zoomScale="71" workbookViewId="0">
      <selection activeCell="J1" activeCellId="1" sqref="I1:I1048576 J1:J1048576"/>
    </sheetView>
  </sheetViews>
  <sheetFormatPr defaultRowHeight="14.25" x14ac:dyDescent="0.45"/>
  <cols>
    <col min="1" max="1" width="17.59765625" style="33" bestFit="1" customWidth="1"/>
    <col min="9" max="9" width="12.3984375" style="5" bestFit="1" customWidth="1"/>
    <col min="12" max="12" width="14.06640625" style="3" bestFit="1" customWidth="1"/>
    <col min="13" max="13" width="15.9296875" style="5" bestFit="1" customWidth="1"/>
    <col min="14" max="14" width="14.9296875" style="5" bestFit="1" customWidth="1"/>
  </cols>
  <sheetData>
    <row r="1" spans="1:14" x14ac:dyDescent="0.45">
      <c r="A1" s="34" t="s">
        <v>0</v>
      </c>
      <c r="B1" s="1" t="s">
        <v>1</v>
      </c>
      <c r="C1" s="1" t="s">
        <v>2</v>
      </c>
      <c r="D1" s="1" t="s">
        <v>3</v>
      </c>
      <c r="E1" s="1" t="s">
        <v>4</v>
      </c>
      <c r="F1" s="1" t="s">
        <v>5</v>
      </c>
      <c r="G1" s="1" t="s">
        <v>6</v>
      </c>
      <c r="H1" s="1" t="s">
        <v>7</v>
      </c>
      <c r="I1" s="4" t="s">
        <v>8</v>
      </c>
      <c r="J1" s="1" t="s">
        <v>9</v>
      </c>
      <c r="K1" s="1" t="s">
        <v>10</v>
      </c>
      <c r="L1" s="2" t="s">
        <v>11</v>
      </c>
      <c r="M1" s="4" t="s">
        <v>12</v>
      </c>
      <c r="N1" s="4" t="s">
        <v>13</v>
      </c>
    </row>
    <row r="2" spans="1:14" x14ac:dyDescent="0.45">
      <c r="A2" s="33">
        <v>45292</v>
      </c>
      <c r="B2">
        <v>1</v>
      </c>
      <c r="C2" t="s">
        <v>14</v>
      </c>
      <c r="D2">
        <v>2024</v>
      </c>
      <c r="E2">
        <v>1</v>
      </c>
      <c r="F2" t="s">
        <v>15</v>
      </c>
      <c r="G2">
        <v>95</v>
      </c>
      <c r="H2">
        <v>174</v>
      </c>
      <c r="I2" s="5">
        <v>592866.31578947371</v>
      </c>
      <c r="J2">
        <v>1.831578947368421</v>
      </c>
      <c r="K2">
        <v>166</v>
      </c>
      <c r="L2" s="3">
        <v>0.57228915662650603</v>
      </c>
      <c r="M2" s="5">
        <v>56322300</v>
      </c>
      <c r="N2" s="5">
        <v>64400000</v>
      </c>
    </row>
    <row r="3" spans="1:14" x14ac:dyDescent="0.45">
      <c r="A3" s="33">
        <v>45293</v>
      </c>
      <c r="B3">
        <v>2</v>
      </c>
      <c r="C3" t="s">
        <v>14</v>
      </c>
      <c r="D3">
        <v>2024</v>
      </c>
      <c r="E3">
        <v>1</v>
      </c>
      <c r="F3" t="s">
        <v>16</v>
      </c>
      <c r="G3">
        <v>71</v>
      </c>
      <c r="H3">
        <v>116</v>
      </c>
      <c r="I3" s="5">
        <v>612120.42253521131</v>
      </c>
      <c r="J3">
        <v>1.6338028169014081</v>
      </c>
      <c r="K3">
        <v>163</v>
      </c>
      <c r="L3" s="3">
        <v>0.43558282208588961</v>
      </c>
      <c r="M3" s="5">
        <v>43460550</v>
      </c>
      <c r="N3" s="5">
        <v>64400000</v>
      </c>
    </row>
    <row r="4" spans="1:14" x14ac:dyDescent="0.45">
      <c r="A4" s="33">
        <v>45294</v>
      </c>
      <c r="B4">
        <v>3</v>
      </c>
      <c r="C4" t="s">
        <v>14</v>
      </c>
      <c r="D4">
        <v>2024</v>
      </c>
      <c r="E4">
        <v>1</v>
      </c>
      <c r="F4" t="s">
        <v>17</v>
      </c>
      <c r="G4">
        <v>83</v>
      </c>
      <c r="H4">
        <v>121</v>
      </c>
      <c r="I4" s="5">
        <v>537895.18072289159</v>
      </c>
      <c r="J4">
        <v>1.457831325301205</v>
      </c>
      <c r="K4">
        <v>267</v>
      </c>
      <c r="L4" s="3">
        <v>0.31086142322097382</v>
      </c>
      <c r="M4" s="5">
        <v>44645300</v>
      </c>
      <c r="N4" s="5">
        <v>64400000</v>
      </c>
    </row>
    <row r="5" spans="1:14" x14ac:dyDescent="0.45">
      <c r="A5" s="33">
        <v>45295</v>
      </c>
      <c r="B5">
        <v>4</v>
      </c>
      <c r="C5" t="s">
        <v>14</v>
      </c>
      <c r="D5">
        <v>2024</v>
      </c>
      <c r="E5">
        <v>1</v>
      </c>
      <c r="F5" t="s">
        <v>18</v>
      </c>
      <c r="G5">
        <v>121</v>
      </c>
      <c r="H5">
        <v>201</v>
      </c>
      <c r="I5" s="5">
        <v>585878.09917355375</v>
      </c>
      <c r="J5">
        <v>1.661157024793388</v>
      </c>
      <c r="K5">
        <v>250</v>
      </c>
      <c r="L5" s="3">
        <v>0.48399999999999999</v>
      </c>
      <c r="M5" s="5">
        <v>70891250</v>
      </c>
      <c r="N5" s="5">
        <v>64400000</v>
      </c>
    </row>
    <row r="6" spans="1:14" x14ac:dyDescent="0.45">
      <c r="A6" s="33">
        <v>45296</v>
      </c>
      <c r="B6">
        <v>5</v>
      </c>
      <c r="C6" t="s">
        <v>14</v>
      </c>
      <c r="D6">
        <v>2024</v>
      </c>
      <c r="E6">
        <v>1</v>
      </c>
      <c r="F6" t="s">
        <v>19</v>
      </c>
      <c r="G6">
        <v>117</v>
      </c>
      <c r="H6">
        <v>214</v>
      </c>
      <c r="I6" s="5">
        <v>648552.56410256412</v>
      </c>
      <c r="J6">
        <v>1.829059829059829</v>
      </c>
      <c r="K6">
        <v>240</v>
      </c>
      <c r="L6" s="3">
        <v>0.48749999999999999</v>
      </c>
      <c r="M6" s="5">
        <v>75880650</v>
      </c>
      <c r="N6" s="5">
        <v>80500000</v>
      </c>
    </row>
    <row r="7" spans="1:14" x14ac:dyDescent="0.45">
      <c r="A7" s="33">
        <v>45297</v>
      </c>
      <c r="B7">
        <v>6</v>
      </c>
      <c r="C7" t="s">
        <v>14</v>
      </c>
      <c r="D7">
        <v>2024</v>
      </c>
      <c r="E7">
        <v>1</v>
      </c>
      <c r="F7" t="s">
        <v>20</v>
      </c>
      <c r="G7">
        <v>158</v>
      </c>
      <c r="H7">
        <v>267</v>
      </c>
      <c r="I7" s="5">
        <v>603197.15189873416</v>
      </c>
      <c r="J7">
        <v>1.6898734177215191</v>
      </c>
      <c r="K7">
        <v>352</v>
      </c>
      <c r="L7" s="3">
        <v>0.44886363636363641</v>
      </c>
      <c r="M7" s="5">
        <v>95305150</v>
      </c>
      <c r="N7" s="5">
        <v>80500000</v>
      </c>
    </row>
    <row r="8" spans="1:14" x14ac:dyDescent="0.45">
      <c r="A8" s="33">
        <v>45298</v>
      </c>
      <c r="B8">
        <v>7</v>
      </c>
      <c r="C8" t="s">
        <v>14</v>
      </c>
      <c r="D8">
        <v>2024</v>
      </c>
      <c r="E8">
        <v>1</v>
      </c>
      <c r="F8" t="s">
        <v>21</v>
      </c>
      <c r="G8">
        <v>149</v>
      </c>
      <c r="H8">
        <v>233</v>
      </c>
      <c r="I8" s="5">
        <v>555145.20134228189</v>
      </c>
      <c r="J8">
        <v>1.563758389261745</v>
      </c>
      <c r="K8">
        <v>303</v>
      </c>
      <c r="L8" s="3">
        <v>0.49174917491749182</v>
      </c>
      <c r="M8" s="5">
        <v>82716635</v>
      </c>
      <c r="N8" s="5">
        <v>64400000</v>
      </c>
    </row>
    <row r="9" spans="1:14" x14ac:dyDescent="0.45">
      <c r="A9" s="33">
        <v>45299</v>
      </c>
      <c r="B9">
        <v>8</v>
      </c>
      <c r="C9" t="s">
        <v>14</v>
      </c>
      <c r="D9">
        <v>2024</v>
      </c>
      <c r="E9">
        <v>2</v>
      </c>
      <c r="F9" t="s">
        <v>15</v>
      </c>
      <c r="G9">
        <v>100</v>
      </c>
      <c r="H9">
        <v>159</v>
      </c>
      <c r="I9" s="5">
        <v>519478</v>
      </c>
      <c r="J9">
        <v>1.59</v>
      </c>
      <c r="K9">
        <v>192</v>
      </c>
      <c r="L9" s="3">
        <v>0.52083333333333337</v>
      </c>
      <c r="M9" s="5">
        <v>51947800</v>
      </c>
      <c r="N9" s="5">
        <v>48300000</v>
      </c>
    </row>
    <row r="10" spans="1:14" x14ac:dyDescent="0.45">
      <c r="A10" s="33">
        <v>45300</v>
      </c>
      <c r="B10">
        <v>9</v>
      </c>
      <c r="C10" t="s">
        <v>14</v>
      </c>
      <c r="D10">
        <v>2024</v>
      </c>
      <c r="E10">
        <v>2</v>
      </c>
      <c r="F10" t="s">
        <v>16</v>
      </c>
      <c r="G10">
        <v>112</v>
      </c>
      <c r="H10">
        <v>194</v>
      </c>
      <c r="I10" s="5">
        <v>572898.21428571432</v>
      </c>
      <c r="J10">
        <v>1.732142857142857</v>
      </c>
      <c r="K10">
        <v>210</v>
      </c>
      <c r="L10" s="3">
        <v>0.53333333333333333</v>
      </c>
      <c r="M10" s="5">
        <v>64164600</v>
      </c>
      <c r="N10" s="5">
        <v>48300000</v>
      </c>
    </row>
    <row r="11" spans="1:14" x14ac:dyDescent="0.45">
      <c r="A11" s="33">
        <v>45301</v>
      </c>
      <c r="B11">
        <v>10</v>
      </c>
      <c r="C11" t="s">
        <v>14</v>
      </c>
      <c r="D11">
        <v>2024</v>
      </c>
      <c r="E11">
        <v>2</v>
      </c>
      <c r="F11" t="s">
        <v>17</v>
      </c>
      <c r="G11">
        <v>143</v>
      </c>
      <c r="H11">
        <v>222</v>
      </c>
      <c r="I11" s="5">
        <v>522712.23776223778</v>
      </c>
      <c r="J11">
        <v>1.5524475524475529</v>
      </c>
      <c r="K11">
        <v>228</v>
      </c>
      <c r="L11" s="3">
        <v>0.6271929824561403</v>
      </c>
      <c r="M11" s="5">
        <v>74747850</v>
      </c>
      <c r="N11" s="5">
        <v>48300000</v>
      </c>
    </row>
    <row r="12" spans="1:14" x14ac:dyDescent="0.45">
      <c r="A12" s="33">
        <v>45302</v>
      </c>
      <c r="B12">
        <v>11</v>
      </c>
      <c r="C12" t="s">
        <v>14</v>
      </c>
      <c r="D12">
        <v>2024</v>
      </c>
      <c r="E12">
        <v>2</v>
      </c>
      <c r="F12" t="s">
        <v>18</v>
      </c>
      <c r="G12">
        <v>155</v>
      </c>
      <c r="H12">
        <v>271</v>
      </c>
      <c r="I12" s="5">
        <v>581280.32258064521</v>
      </c>
      <c r="J12">
        <v>1.748387096774193</v>
      </c>
      <c r="K12">
        <v>375</v>
      </c>
      <c r="L12" s="3">
        <v>0.41333333333333327</v>
      </c>
      <c r="M12" s="5">
        <v>90098450</v>
      </c>
      <c r="N12" s="5">
        <v>48300000</v>
      </c>
    </row>
    <row r="13" spans="1:14" x14ac:dyDescent="0.45">
      <c r="A13" s="33">
        <v>45303</v>
      </c>
      <c r="B13">
        <v>12</v>
      </c>
      <c r="C13" t="s">
        <v>14</v>
      </c>
      <c r="D13">
        <v>2024</v>
      </c>
      <c r="E13">
        <v>2</v>
      </c>
      <c r="F13" t="s">
        <v>19</v>
      </c>
      <c r="G13">
        <v>142</v>
      </c>
      <c r="H13">
        <v>257</v>
      </c>
      <c r="I13" s="5">
        <v>569126.14436619717</v>
      </c>
      <c r="J13">
        <v>1.8098591549295771</v>
      </c>
      <c r="K13">
        <v>210</v>
      </c>
      <c r="L13" s="3">
        <v>0.67619047619047623</v>
      </c>
      <c r="M13" s="5">
        <v>80815912.5</v>
      </c>
      <c r="N13" s="5">
        <v>64400000</v>
      </c>
    </row>
    <row r="14" spans="1:14" x14ac:dyDescent="0.45">
      <c r="A14" s="33">
        <v>45304</v>
      </c>
      <c r="B14">
        <v>13</v>
      </c>
      <c r="C14" t="s">
        <v>14</v>
      </c>
      <c r="D14">
        <v>2024</v>
      </c>
      <c r="E14">
        <v>2</v>
      </c>
      <c r="F14" t="s">
        <v>20</v>
      </c>
      <c r="G14">
        <v>189</v>
      </c>
      <c r="H14">
        <v>339</v>
      </c>
      <c r="I14" s="5">
        <v>588410.58201058197</v>
      </c>
      <c r="J14">
        <v>1.7936507936507939</v>
      </c>
      <c r="K14">
        <v>376</v>
      </c>
      <c r="L14" s="3">
        <v>0.50265957446808507</v>
      </c>
      <c r="M14" s="5">
        <v>111209600</v>
      </c>
      <c r="N14" s="5">
        <v>64400000</v>
      </c>
    </row>
    <row r="15" spans="1:14" x14ac:dyDescent="0.45">
      <c r="A15" s="33">
        <v>45305</v>
      </c>
      <c r="B15">
        <v>14</v>
      </c>
      <c r="C15" t="s">
        <v>14</v>
      </c>
      <c r="D15">
        <v>2024</v>
      </c>
      <c r="E15">
        <v>2</v>
      </c>
      <c r="F15" t="s">
        <v>21</v>
      </c>
      <c r="G15">
        <v>206</v>
      </c>
      <c r="H15">
        <v>371</v>
      </c>
      <c r="I15" s="5">
        <v>587654.83009708743</v>
      </c>
      <c r="J15">
        <v>1.8009708737864081</v>
      </c>
      <c r="K15">
        <v>637</v>
      </c>
      <c r="L15" s="3">
        <v>0.32339089481946631</v>
      </c>
      <c r="M15" s="5">
        <v>121056895</v>
      </c>
      <c r="N15" s="5">
        <v>64400000</v>
      </c>
    </row>
    <row r="16" spans="1:14" x14ac:dyDescent="0.45">
      <c r="A16" s="33">
        <v>45306</v>
      </c>
      <c r="B16">
        <v>15</v>
      </c>
      <c r="C16" t="s">
        <v>14</v>
      </c>
      <c r="D16">
        <v>2024</v>
      </c>
      <c r="E16">
        <v>3</v>
      </c>
      <c r="F16" t="s">
        <v>15</v>
      </c>
      <c r="G16">
        <v>98</v>
      </c>
      <c r="H16">
        <v>163</v>
      </c>
      <c r="I16" s="5">
        <v>511202.98469387757</v>
      </c>
      <c r="J16">
        <v>1.6632653061224489</v>
      </c>
      <c r="K16">
        <v>290</v>
      </c>
      <c r="L16" s="3">
        <v>0.33793103448275857</v>
      </c>
      <c r="M16" s="5">
        <v>50097892.5</v>
      </c>
      <c r="N16" s="5">
        <v>32200000</v>
      </c>
    </row>
    <row r="17" spans="1:14" x14ac:dyDescent="0.45">
      <c r="A17" s="33">
        <v>45307</v>
      </c>
      <c r="B17">
        <v>16</v>
      </c>
      <c r="C17" t="s">
        <v>14</v>
      </c>
      <c r="D17">
        <v>2024</v>
      </c>
      <c r="E17">
        <v>3</v>
      </c>
      <c r="F17" t="s">
        <v>16</v>
      </c>
      <c r="G17">
        <v>133</v>
      </c>
      <c r="H17">
        <v>255</v>
      </c>
      <c r="I17" s="5">
        <v>574671.78571428568</v>
      </c>
      <c r="J17">
        <v>1.917293233082707</v>
      </c>
      <c r="K17">
        <v>326</v>
      </c>
      <c r="L17" s="3">
        <v>0.40797546012269942</v>
      </c>
      <c r="M17" s="5">
        <v>76431347.5</v>
      </c>
      <c r="N17" s="5">
        <v>32200000</v>
      </c>
    </row>
    <row r="18" spans="1:14" x14ac:dyDescent="0.45">
      <c r="A18" s="33">
        <v>45308</v>
      </c>
      <c r="B18">
        <v>17</v>
      </c>
      <c r="C18" t="s">
        <v>14</v>
      </c>
      <c r="D18">
        <v>2024</v>
      </c>
      <c r="E18">
        <v>3</v>
      </c>
      <c r="F18" t="s">
        <v>17</v>
      </c>
      <c r="G18">
        <v>143</v>
      </c>
      <c r="H18">
        <v>279</v>
      </c>
      <c r="I18" s="5">
        <v>587001.7552447553</v>
      </c>
      <c r="J18">
        <v>1.951048951048951</v>
      </c>
      <c r="K18">
        <v>359</v>
      </c>
      <c r="L18" s="3">
        <v>0.39832869080779942</v>
      </c>
      <c r="M18" s="5">
        <v>83941251</v>
      </c>
      <c r="N18" s="5">
        <v>32200000</v>
      </c>
    </row>
    <row r="19" spans="1:14" x14ac:dyDescent="0.45">
      <c r="A19" s="33">
        <v>45309</v>
      </c>
      <c r="B19">
        <v>18</v>
      </c>
      <c r="C19" t="s">
        <v>14</v>
      </c>
      <c r="D19">
        <v>2024</v>
      </c>
      <c r="E19">
        <v>3</v>
      </c>
      <c r="F19" t="s">
        <v>18</v>
      </c>
      <c r="G19">
        <v>169</v>
      </c>
      <c r="H19">
        <v>293</v>
      </c>
      <c r="I19" s="5">
        <v>556409.2011834319</v>
      </c>
      <c r="J19">
        <v>1.733727810650888</v>
      </c>
      <c r="K19">
        <v>359</v>
      </c>
      <c r="L19" s="3">
        <v>0.47075208913649019</v>
      </c>
      <c r="M19" s="5">
        <v>94033155</v>
      </c>
      <c r="N19" s="5">
        <v>48300000</v>
      </c>
    </row>
    <row r="20" spans="1:14" x14ac:dyDescent="0.45">
      <c r="A20" s="33">
        <v>45310</v>
      </c>
      <c r="B20">
        <v>19</v>
      </c>
      <c r="C20" t="s">
        <v>14</v>
      </c>
      <c r="D20">
        <v>2024</v>
      </c>
      <c r="E20">
        <v>3</v>
      </c>
      <c r="F20" t="s">
        <v>19</v>
      </c>
      <c r="G20">
        <v>162</v>
      </c>
      <c r="H20">
        <v>263</v>
      </c>
      <c r="I20" s="5">
        <v>509243.76543209882</v>
      </c>
      <c r="J20">
        <v>1.6234567901234569</v>
      </c>
      <c r="K20">
        <v>302</v>
      </c>
      <c r="L20" s="3">
        <v>0.53642384105960261</v>
      </c>
      <c r="M20" s="5">
        <v>82497490</v>
      </c>
      <c r="N20" s="5">
        <v>48300000</v>
      </c>
    </row>
    <row r="21" spans="1:14" x14ac:dyDescent="0.45">
      <c r="A21" s="33">
        <v>45311</v>
      </c>
      <c r="B21">
        <v>20</v>
      </c>
      <c r="C21" t="s">
        <v>14</v>
      </c>
      <c r="D21">
        <v>2024</v>
      </c>
      <c r="E21">
        <v>3</v>
      </c>
      <c r="F21" t="s">
        <v>20</v>
      </c>
      <c r="G21">
        <v>175</v>
      </c>
      <c r="H21">
        <v>301</v>
      </c>
      <c r="I21" s="5">
        <v>513565.67428571428</v>
      </c>
      <c r="J21">
        <v>1.72</v>
      </c>
      <c r="K21">
        <v>346</v>
      </c>
      <c r="L21" s="3">
        <v>0.5057803468208093</v>
      </c>
      <c r="M21" s="5">
        <v>89873993</v>
      </c>
      <c r="N21" s="5">
        <v>64400000</v>
      </c>
    </row>
    <row r="22" spans="1:14" x14ac:dyDescent="0.45">
      <c r="A22" s="33">
        <v>45312</v>
      </c>
      <c r="B22">
        <v>21</v>
      </c>
      <c r="C22" t="s">
        <v>14</v>
      </c>
      <c r="D22">
        <v>2024</v>
      </c>
      <c r="E22">
        <v>3</v>
      </c>
      <c r="F22" t="s">
        <v>21</v>
      </c>
      <c r="G22">
        <v>181</v>
      </c>
      <c r="H22">
        <v>301</v>
      </c>
      <c r="I22" s="5">
        <v>520044.21270718228</v>
      </c>
      <c r="J22">
        <v>1.6629834254143649</v>
      </c>
      <c r="K22">
        <v>440</v>
      </c>
      <c r="L22" s="3">
        <v>0.41136363636363638</v>
      </c>
      <c r="M22" s="5">
        <v>94128002.5</v>
      </c>
      <c r="N22" s="5">
        <v>64400000</v>
      </c>
    </row>
    <row r="23" spans="1:14" x14ac:dyDescent="0.45">
      <c r="A23" s="33">
        <v>45313</v>
      </c>
      <c r="B23">
        <v>22</v>
      </c>
      <c r="C23" t="s">
        <v>14</v>
      </c>
      <c r="D23">
        <v>2024</v>
      </c>
      <c r="E23">
        <v>4</v>
      </c>
      <c r="F23" t="s">
        <v>15</v>
      </c>
      <c r="G23">
        <v>114</v>
      </c>
      <c r="H23">
        <v>285</v>
      </c>
      <c r="I23" s="5">
        <v>751036.31578947371</v>
      </c>
      <c r="J23">
        <v>2.5</v>
      </c>
      <c r="K23">
        <v>320</v>
      </c>
      <c r="L23" s="3">
        <v>0.35625000000000001</v>
      </c>
      <c r="M23" s="5">
        <v>85618140</v>
      </c>
      <c r="N23" s="5">
        <v>32200000</v>
      </c>
    </row>
    <row r="24" spans="1:14" x14ac:dyDescent="0.45">
      <c r="A24" s="33">
        <v>45314</v>
      </c>
      <c r="B24">
        <v>23</v>
      </c>
      <c r="C24" t="s">
        <v>14</v>
      </c>
      <c r="D24">
        <v>2024</v>
      </c>
      <c r="E24">
        <v>4</v>
      </c>
      <c r="F24" t="s">
        <v>16</v>
      </c>
      <c r="G24">
        <v>122</v>
      </c>
      <c r="H24">
        <v>233</v>
      </c>
      <c r="I24" s="5">
        <v>587191.63934426231</v>
      </c>
      <c r="J24">
        <v>1.9098360655737709</v>
      </c>
      <c r="K24">
        <v>295</v>
      </c>
      <c r="L24" s="3">
        <v>0.41355932203389828</v>
      </c>
      <c r="M24" s="5">
        <v>71637380</v>
      </c>
      <c r="N24" s="5">
        <v>32200000</v>
      </c>
    </row>
    <row r="25" spans="1:14" x14ac:dyDescent="0.45">
      <c r="A25" s="33">
        <v>45315</v>
      </c>
      <c r="B25">
        <v>24</v>
      </c>
      <c r="C25" t="s">
        <v>14</v>
      </c>
      <c r="D25">
        <v>2024</v>
      </c>
      <c r="E25">
        <v>4</v>
      </c>
      <c r="F25" t="s">
        <v>17</v>
      </c>
      <c r="G25">
        <v>166</v>
      </c>
      <c r="H25">
        <v>264</v>
      </c>
      <c r="I25" s="5">
        <v>514578.67469879519</v>
      </c>
      <c r="J25">
        <v>1.590361445783133</v>
      </c>
      <c r="K25">
        <v>389</v>
      </c>
      <c r="L25" s="3">
        <v>0.42673521850899743</v>
      </c>
      <c r="M25" s="5">
        <v>85420060</v>
      </c>
      <c r="N25" s="5">
        <v>32200000</v>
      </c>
    </row>
    <row r="26" spans="1:14" x14ac:dyDescent="0.45">
      <c r="A26" s="33">
        <v>45316</v>
      </c>
      <c r="B26">
        <v>25</v>
      </c>
      <c r="C26" t="s">
        <v>14</v>
      </c>
      <c r="D26">
        <v>2024</v>
      </c>
      <c r="E26">
        <v>4</v>
      </c>
      <c r="F26" t="s">
        <v>18</v>
      </c>
      <c r="G26">
        <v>152</v>
      </c>
      <c r="H26">
        <v>247</v>
      </c>
      <c r="I26" s="5">
        <v>517992.51973684208</v>
      </c>
      <c r="J26">
        <v>1.625</v>
      </c>
      <c r="K26">
        <v>337</v>
      </c>
      <c r="L26" s="3">
        <v>0.45103857566765582</v>
      </c>
      <c r="M26" s="5">
        <v>78734863</v>
      </c>
      <c r="N26" s="5">
        <v>48300000</v>
      </c>
    </row>
    <row r="27" spans="1:14" x14ac:dyDescent="0.45">
      <c r="A27" s="33">
        <v>45317</v>
      </c>
      <c r="B27">
        <v>26</v>
      </c>
      <c r="C27" t="s">
        <v>14</v>
      </c>
      <c r="D27">
        <v>2024</v>
      </c>
      <c r="E27">
        <v>4</v>
      </c>
      <c r="F27" t="s">
        <v>19</v>
      </c>
      <c r="G27">
        <v>152</v>
      </c>
      <c r="H27">
        <v>245</v>
      </c>
      <c r="I27" s="5">
        <v>521549.91447368421</v>
      </c>
      <c r="J27">
        <v>1.611842105263158</v>
      </c>
      <c r="K27">
        <v>310</v>
      </c>
      <c r="L27" s="3">
        <v>0.49032258064516132</v>
      </c>
      <c r="M27" s="5">
        <v>79275587</v>
      </c>
      <c r="N27" s="5">
        <v>48300000</v>
      </c>
    </row>
    <row r="28" spans="1:14" x14ac:dyDescent="0.45">
      <c r="A28" s="33">
        <v>45318</v>
      </c>
      <c r="B28">
        <v>27</v>
      </c>
      <c r="C28" t="s">
        <v>14</v>
      </c>
      <c r="D28">
        <v>2024</v>
      </c>
      <c r="E28">
        <v>4</v>
      </c>
      <c r="F28" t="s">
        <v>20</v>
      </c>
      <c r="G28">
        <v>187</v>
      </c>
      <c r="H28">
        <v>308</v>
      </c>
      <c r="I28" s="5">
        <v>527900.85561497323</v>
      </c>
      <c r="J28">
        <v>1.6470588235294119</v>
      </c>
      <c r="K28">
        <v>415</v>
      </c>
      <c r="L28" s="3">
        <v>0.45060240963855419</v>
      </c>
      <c r="M28" s="5">
        <v>98717460</v>
      </c>
      <c r="N28" s="5">
        <v>64400000</v>
      </c>
    </row>
    <row r="29" spans="1:14" x14ac:dyDescent="0.45">
      <c r="A29" s="33">
        <v>45319</v>
      </c>
      <c r="B29">
        <v>28</v>
      </c>
      <c r="C29" t="s">
        <v>14</v>
      </c>
      <c r="D29">
        <v>2024</v>
      </c>
      <c r="E29">
        <v>4</v>
      </c>
      <c r="F29" t="s">
        <v>21</v>
      </c>
      <c r="G29">
        <v>185</v>
      </c>
      <c r="H29">
        <v>330</v>
      </c>
      <c r="I29" s="5">
        <v>546978.7702702703</v>
      </c>
      <c r="J29">
        <v>1.783783783783784</v>
      </c>
      <c r="K29">
        <v>418</v>
      </c>
      <c r="L29" s="3">
        <v>0.44258373205741619</v>
      </c>
      <c r="M29" s="5">
        <v>101191072.5</v>
      </c>
      <c r="N29" s="5">
        <v>64400000</v>
      </c>
    </row>
    <row r="30" spans="1:14" x14ac:dyDescent="0.45">
      <c r="A30" s="33">
        <v>45323</v>
      </c>
      <c r="B30">
        <v>1</v>
      </c>
      <c r="C30" t="s">
        <v>22</v>
      </c>
      <c r="D30">
        <v>2024</v>
      </c>
      <c r="E30">
        <v>5</v>
      </c>
      <c r="F30" t="s">
        <v>18</v>
      </c>
      <c r="G30">
        <v>107</v>
      </c>
      <c r="H30">
        <v>207</v>
      </c>
      <c r="I30" s="5">
        <v>561097.29906542052</v>
      </c>
      <c r="J30">
        <v>1.934579439252337</v>
      </c>
      <c r="K30">
        <v>247</v>
      </c>
      <c r="L30" s="3">
        <v>0.4331983805668016</v>
      </c>
      <c r="M30" s="5">
        <v>60037411</v>
      </c>
      <c r="N30" s="5">
        <v>55000000</v>
      </c>
    </row>
    <row r="31" spans="1:14" x14ac:dyDescent="0.45">
      <c r="A31" s="33">
        <v>45324</v>
      </c>
      <c r="B31">
        <v>2</v>
      </c>
      <c r="C31" t="s">
        <v>22</v>
      </c>
      <c r="D31">
        <v>2024</v>
      </c>
      <c r="E31">
        <v>5</v>
      </c>
      <c r="F31" t="s">
        <v>19</v>
      </c>
      <c r="G31">
        <v>124</v>
      </c>
      <c r="H31">
        <v>210</v>
      </c>
      <c r="I31" s="5">
        <v>490824.75</v>
      </c>
      <c r="J31">
        <v>1.693548387096774</v>
      </c>
      <c r="K31">
        <v>185</v>
      </c>
      <c r="L31" s="3">
        <v>0.67027027027027031</v>
      </c>
      <c r="M31" s="5">
        <v>60862269</v>
      </c>
      <c r="N31" s="5">
        <v>65000000</v>
      </c>
    </row>
    <row r="32" spans="1:14" x14ac:dyDescent="0.45">
      <c r="A32" s="33">
        <v>45325</v>
      </c>
      <c r="B32">
        <v>3</v>
      </c>
      <c r="C32" t="s">
        <v>22</v>
      </c>
      <c r="D32">
        <v>2024</v>
      </c>
      <c r="E32">
        <v>5</v>
      </c>
      <c r="F32" t="s">
        <v>20</v>
      </c>
      <c r="G32">
        <v>158</v>
      </c>
      <c r="H32">
        <v>288</v>
      </c>
      <c r="I32" s="5">
        <v>535435.97468354425</v>
      </c>
      <c r="J32">
        <v>1.822784810126582</v>
      </c>
      <c r="K32">
        <v>285</v>
      </c>
      <c r="L32" s="3">
        <v>0.55438596491228065</v>
      </c>
      <c r="M32" s="5">
        <v>84598884</v>
      </c>
      <c r="N32" s="5">
        <v>75000000</v>
      </c>
    </row>
    <row r="33" spans="1:14" x14ac:dyDescent="0.45">
      <c r="A33" s="33">
        <v>45326</v>
      </c>
      <c r="B33">
        <v>4</v>
      </c>
      <c r="C33" t="s">
        <v>22</v>
      </c>
      <c r="D33">
        <v>2024</v>
      </c>
      <c r="E33">
        <v>5</v>
      </c>
      <c r="F33" t="s">
        <v>21</v>
      </c>
      <c r="G33">
        <v>167</v>
      </c>
      <c r="H33">
        <v>295</v>
      </c>
      <c r="I33" s="5">
        <v>523707.75449101801</v>
      </c>
      <c r="J33">
        <v>1.766467065868264</v>
      </c>
      <c r="K33">
        <v>300</v>
      </c>
      <c r="L33" s="3">
        <v>0.55666666666666664</v>
      </c>
      <c r="M33" s="5">
        <v>87459195</v>
      </c>
      <c r="N33" s="5">
        <v>70000000</v>
      </c>
    </row>
    <row r="34" spans="1:14" x14ac:dyDescent="0.45">
      <c r="A34" s="33">
        <v>45327</v>
      </c>
      <c r="B34">
        <v>5</v>
      </c>
      <c r="C34" t="s">
        <v>22</v>
      </c>
      <c r="D34">
        <v>2024</v>
      </c>
      <c r="E34">
        <v>6</v>
      </c>
      <c r="F34" t="s">
        <v>15</v>
      </c>
      <c r="G34">
        <v>117</v>
      </c>
      <c r="H34">
        <v>202</v>
      </c>
      <c r="I34" s="5">
        <v>518625.55555555562</v>
      </c>
      <c r="J34">
        <v>1.726495726495727</v>
      </c>
      <c r="K34">
        <v>185</v>
      </c>
      <c r="L34" s="3">
        <v>0.63243243243243241</v>
      </c>
      <c r="M34" s="5">
        <v>60679190</v>
      </c>
      <c r="N34" s="5">
        <v>58000000</v>
      </c>
    </row>
    <row r="35" spans="1:14" x14ac:dyDescent="0.45">
      <c r="A35" s="33">
        <v>45328</v>
      </c>
      <c r="B35">
        <v>6</v>
      </c>
      <c r="C35" t="s">
        <v>22</v>
      </c>
      <c r="D35">
        <v>2024</v>
      </c>
      <c r="E35">
        <v>6</v>
      </c>
      <c r="F35" t="s">
        <v>16</v>
      </c>
      <c r="G35">
        <v>122</v>
      </c>
      <c r="H35">
        <v>208</v>
      </c>
      <c r="I35" s="5">
        <v>502804.13524590159</v>
      </c>
      <c r="J35">
        <v>1.7049180327868849</v>
      </c>
      <c r="K35">
        <v>180</v>
      </c>
      <c r="L35" s="3">
        <v>0.67777777777777781</v>
      </c>
      <c r="M35" s="5">
        <v>61342104.5</v>
      </c>
      <c r="N35" s="5">
        <v>58000000</v>
      </c>
    </row>
    <row r="36" spans="1:14" x14ac:dyDescent="0.45">
      <c r="A36" s="33">
        <v>45329</v>
      </c>
      <c r="B36">
        <v>7</v>
      </c>
      <c r="C36" t="s">
        <v>22</v>
      </c>
      <c r="D36">
        <v>2024</v>
      </c>
      <c r="E36">
        <v>6</v>
      </c>
      <c r="F36" t="s">
        <v>17</v>
      </c>
      <c r="G36">
        <v>96</v>
      </c>
      <c r="H36">
        <v>192</v>
      </c>
      <c r="I36" s="5">
        <v>601233.59375</v>
      </c>
      <c r="J36">
        <v>2</v>
      </c>
      <c r="K36">
        <v>155</v>
      </c>
      <c r="L36" s="3">
        <v>0.61935483870967745</v>
      </c>
      <c r="M36" s="5">
        <v>57718425</v>
      </c>
      <c r="N36" s="5">
        <v>58000000</v>
      </c>
    </row>
    <row r="37" spans="1:14" x14ac:dyDescent="0.45">
      <c r="A37" s="33">
        <v>45337</v>
      </c>
      <c r="B37">
        <v>15</v>
      </c>
      <c r="C37" t="s">
        <v>22</v>
      </c>
      <c r="D37">
        <v>2024</v>
      </c>
      <c r="E37">
        <v>7</v>
      </c>
      <c r="F37" t="s">
        <v>18</v>
      </c>
      <c r="G37">
        <v>17</v>
      </c>
      <c r="H37">
        <v>31</v>
      </c>
      <c r="I37" s="5">
        <v>553223.5294117647</v>
      </c>
      <c r="J37">
        <v>1.8235294117647061</v>
      </c>
      <c r="K37">
        <v>22</v>
      </c>
      <c r="L37" s="3">
        <v>0.77272727272727271</v>
      </c>
      <c r="M37" s="5">
        <v>9404800</v>
      </c>
      <c r="N37" s="5">
        <v>20000000</v>
      </c>
    </row>
    <row r="38" spans="1:14" x14ac:dyDescent="0.45">
      <c r="A38" s="33">
        <v>45338</v>
      </c>
      <c r="B38">
        <v>16</v>
      </c>
      <c r="C38" t="s">
        <v>22</v>
      </c>
      <c r="D38">
        <v>2024</v>
      </c>
      <c r="E38">
        <v>7</v>
      </c>
      <c r="F38" t="s">
        <v>19</v>
      </c>
      <c r="G38">
        <v>26</v>
      </c>
      <c r="H38">
        <v>52</v>
      </c>
      <c r="I38" s="5">
        <v>675055.76923076925</v>
      </c>
      <c r="J38">
        <v>2</v>
      </c>
      <c r="K38">
        <v>35</v>
      </c>
      <c r="L38" s="3">
        <v>0.74285714285714288</v>
      </c>
      <c r="M38" s="5">
        <v>17551450</v>
      </c>
      <c r="N38" s="5">
        <v>20000000</v>
      </c>
    </row>
    <row r="39" spans="1:14" x14ac:dyDescent="0.45">
      <c r="A39" s="33">
        <v>45339</v>
      </c>
      <c r="B39">
        <v>17</v>
      </c>
      <c r="C39" t="s">
        <v>22</v>
      </c>
      <c r="D39">
        <v>2024</v>
      </c>
      <c r="E39">
        <v>7</v>
      </c>
      <c r="F39" t="s">
        <v>20</v>
      </c>
      <c r="G39">
        <v>38</v>
      </c>
      <c r="H39">
        <v>76</v>
      </c>
      <c r="I39" s="5">
        <v>628702.63157894742</v>
      </c>
      <c r="J39">
        <v>2</v>
      </c>
      <c r="K39">
        <v>58</v>
      </c>
      <c r="L39" s="3">
        <v>0.65517241379310343</v>
      </c>
      <c r="M39" s="5">
        <v>23890700</v>
      </c>
      <c r="N39" s="5">
        <v>30000000</v>
      </c>
    </row>
    <row r="40" spans="1:14" x14ac:dyDescent="0.45">
      <c r="A40" s="33">
        <v>45340</v>
      </c>
      <c r="B40">
        <v>18</v>
      </c>
      <c r="C40" t="s">
        <v>22</v>
      </c>
      <c r="D40">
        <v>2024</v>
      </c>
      <c r="E40">
        <v>7</v>
      </c>
      <c r="F40" t="s">
        <v>21</v>
      </c>
      <c r="G40">
        <v>47</v>
      </c>
      <c r="H40">
        <v>73</v>
      </c>
      <c r="I40" s="5">
        <v>541845.23404255323</v>
      </c>
      <c r="J40">
        <v>1.553191489361702</v>
      </c>
      <c r="K40">
        <v>71</v>
      </c>
      <c r="L40" s="3">
        <v>0.6619718309859155</v>
      </c>
      <c r="M40" s="5">
        <v>25466726</v>
      </c>
      <c r="N40" s="5">
        <v>30000000</v>
      </c>
    </row>
    <row r="41" spans="1:14" x14ac:dyDescent="0.45">
      <c r="A41" s="33">
        <v>45341</v>
      </c>
      <c r="B41">
        <v>19</v>
      </c>
      <c r="C41" t="s">
        <v>22</v>
      </c>
      <c r="D41">
        <v>2024</v>
      </c>
      <c r="E41">
        <v>8</v>
      </c>
      <c r="F41" t="s">
        <v>15</v>
      </c>
      <c r="G41">
        <v>30</v>
      </c>
      <c r="H41">
        <v>47</v>
      </c>
      <c r="I41" s="5">
        <v>492232.66666666669</v>
      </c>
      <c r="J41">
        <v>1.5666666666666671</v>
      </c>
      <c r="K41">
        <v>39</v>
      </c>
      <c r="L41" s="3">
        <v>0.76923076923076927</v>
      </c>
      <c r="M41" s="5">
        <v>14766980</v>
      </c>
      <c r="N41" s="5">
        <v>20000000</v>
      </c>
    </row>
    <row r="42" spans="1:14" x14ac:dyDescent="0.45">
      <c r="A42" s="33">
        <v>45342</v>
      </c>
      <c r="B42">
        <v>20</v>
      </c>
      <c r="C42" t="s">
        <v>22</v>
      </c>
      <c r="D42">
        <v>2024</v>
      </c>
      <c r="E42">
        <v>8</v>
      </c>
      <c r="F42" t="s">
        <v>16</v>
      </c>
      <c r="G42">
        <v>44</v>
      </c>
      <c r="H42">
        <v>79</v>
      </c>
      <c r="I42" s="5">
        <v>597930.22727272729</v>
      </c>
      <c r="J42">
        <v>1.795454545454545</v>
      </c>
      <c r="K42">
        <v>55</v>
      </c>
      <c r="L42" s="3">
        <v>0.8</v>
      </c>
      <c r="M42" s="5">
        <v>26308930</v>
      </c>
      <c r="N42" s="5">
        <v>20000000</v>
      </c>
    </row>
    <row r="43" spans="1:14" x14ac:dyDescent="0.45">
      <c r="A43" s="33">
        <v>45343</v>
      </c>
      <c r="B43">
        <v>21</v>
      </c>
      <c r="C43" t="s">
        <v>22</v>
      </c>
      <c r="D43">
        <v>2024</v>
      </c>
      <c r="E43">
        <v>8</v>
      </c>
      <c r="F43" t="s">
        <v>17</v>
      </c>
      <c r="G43">
        <v>49</v>
      </c>
      <c r="H43">
        <v>81</v>
      </c>
      <c r="I43" s="5">
        <v>535678.57142857148</v>
      </c>
      <c r="J43">
        <v>1.653061224489796</v>
      </c>
      <c r="K43">
        <v>61</v>
      </c>
      <c r="L43" s="3">
        <v>0.80327868852459017</v>
      </c>
      <c r="M43" s="5">
        <v>26248250</v>
      </c>
      <c r="N43" s="5">
        <v>25000000</v>
      </c>
    </row>
    <row r="44" spans="1:14" x14ac:dyDescent="0.45">
      <c r="A44" s="33">
        <v>45344</v>
      </c>
      <c r="B44">
        <v>22</v>
      </c>
      <c r="C44" t="s">
        <v>22</v>
      </c>
      <c r="D44">
        <v>2024</v>
      </c>
      <c r="E44">
        <v>8</v>
      </c>
      <c r="F44" t="s">
        <v>18</v>
      </c>
      <c r="G44">
        <v>58</v>
      </c>
      <c r="H44">
        <v>85</v>
      </c>
      <c r="I44" s="5">
        <v>505014.18965517241</v>
      </c>
      <c r="J44">
        <v>1.4655172413793101</v>
      </c>
      <c r="K44">
        <v>75</v>
      </c>
      <c r="L44" s="3">
        <v>0.77333333333333332</v>
      </c>
      <c r="M44" s="5">
        <v>29290823</v>
      </c>
      <c r="N44" s="5">
        <v>25000000</v>
      </c>
    </row>
    <row r="45" spans="1:14" x14ac:dyDescent="0.45">
      <c r="A45" s="33">
        <v>45345</v>
      </c>
      <c r="B45">
        <v>23</v>
      </c>
      <c r="C45" t="s">
        <v>22</v>
      </c>
      <c r="D45">
        <v>2024</v>
      </c>
      <c r="E45">
        <v>8</v>
      </c>
      <c r="F45" t="s">
        <v>19</v>
      </c>
      <c r="G45">
        <v>46</v>
      </c>
      <c r="H45">
        <v>80</v>
      </c>
      <c r="I45" s="5">
        <v>567584.13043478259</v>
      </c>
      <c r="J45">
        <v>1.7391304347826091</v>
      </c>
      <c r="K45">
        <v>71</v>
      </c>
      <c r="L45" s="3">
        <v>0.647887323943662</v>
      </c>
      <c r="M45" s="5">
        <v>26108870</v>
      </c>
      <c r="N45" s="5">
        <v>30000000</v>
      </c>
    </row>
    <row r="46" spans="1:14" x14ac:dyDescent="0.45">
      <c r="A46" s="33">
        <v>45346</v>
      </c>
      <c r="B46">
        <v>24</v>
      </c>
      <c r="C46" t="s">
        <v>22</v>
      </c>
      <c r="D46">
        <v>2024</v>
      </c>
      <c r="E46">
        <v>8</v>
      </c>
      <c r="F46" t="s">
        <v>20</v>
      </c>
      <c r="G46">
        <v>73</v>
      </c>
      <c r="H46">
        <v>152</v>
      </c>
      <c r="I46" s="5">
        <v>638727.84246575343</v>
      </c>
      <c r="J46">
        <v>2.0821917808219181</v>
      </c>
      <c r="K46">
        <v>106</v>
      </c>
      <c r="L46" s="3">
        <v>0.68867924528301883</v>
      </c>
      <c r="M46" s="5">
        <v>46627132.5</v>
      </c>
      <c r="N46" s="5">
        <v>40000000</v>
      </c>
    </row>
    <row r="47" spans="1:14" x14ac:dyDescent="0.45">
      <c r="A47" s="33">
        <v>45347</v>
      </c>
      <c r="B47">
        <v>25</v>
      </c>
      <c r="C47" t="s">
        <v>22</v>
      </c>
      <c r="D47">
        <v>2024</v>
      </c>
      <c r="E47">
        <v>8</v>
      </c>
      <c r="F47" t="s">
        <v>21</v>
      </c>
      <c r="G47">
        <v>60</v>
      </c>
      <c r="H47">
        <v>113</v>
      </c>
      <c r="I47" s="5">
        <v>584930</v>
      </c>
      <c r="J47">
        <v>1.8833333333333331</v>
      </c>
      <c r="K47">
        <v>79</v>
      </c>
      <c r="L47" s="3">
        <v>0.759493670886076</v>
      </c>
      <c r="M47" s="5">
        <v>35095800</v>
      </c>
      <c r="N47" s="5">
        <v>30000000</v>
      </c>
    </row>
    <row r="48" spans="1:14" x14ac:dyDescent="0.45">
      <c r="A48" s="33">
        <v>45348</v>
      </c>
      <c r="B48">
        <v>26</v>
      </c>
      <c r="C48" t="s">
        <v>22</v>
      </c>
      <c r="D48">
        <v>2024</v>
      </c>
      <c r="E48">
        <v>9</v>
      </c>
      <c r="F48" t="s">
        <v>15</v>
      </c>
      <c r="G48">
        <v>53</v>
      </c>
      <c r="H48">
        <v>99</v>
      </c>
      <c r="I48" s="5">
        <v>516153.39622641512</v>
      </c>
      <c r="J48">
        <v>1.867924528301887</v>
      </c>
      <c r="K48">
        <v>64</v>
      </c>
      <c r="L48" s="3">
        <v>0.828125</v>
      </c>
      <c r="M48" s="5">
        <v>27356130</v>
      </c>
      <c r="N48" s="5">
        <v>25000000</v>
      </c>
    </row>
    <row r="49" spans="1:14" x14ac:dyDescent="0.45">
      <c r="A49" s="33">
        <v>45349</v>
      </c>
      <c r="B49">
        <v>27</v>
      </c>
      <c r="C49" t="s">
        <v>22</v>
      </c>
      <c r="D49">
        <v>2024</v>
      </c>
      <c r="E49">
        <v>9</v>
      </c>
      <c r="F49" t="s">
        <v>16</v>
      </c>
      <c r="G49">
        <v>52</v>
      </c>
      <c r="H49">
        <v>113</v>
      </c>
      <c r="I49" s="5">
        <v>620771.30769230775</v>
      </c>
      <c r="J49">
        <v>2.1730769230769229</v>
      </c>
      <c r="K49">
        <v>78</v>
      </c>
      <c r="L49" s="3">
        <v>0.66666666666666663</v>
      </c>
      <c r="M49" s="5">
        <v>32280108</v>
      </c>
      <c r="N49" s="5">
        <v>30000000</v>
      </c>
    </row>
    <row r="50" spans="1:14" x14ac:dyDescent="0.45">
      <c r="A50" s="33">
        <v>45350</v>
      </c>
      <c r="B50">
        <v>28</v>
      </c>
      <c r="C50" t="s">
        <v>22</v>
      </c>
      <c r="D50">
        <v>2024</v>
      </c>
      <c r="E50">
        <v>9</v>
      </c>
      <c r="F50" t="s">
        <v>17</v>
      </c>
      <c r="G50">
        <v>50</v>
      </c>
      <c r="H50">
        <v>100</v>
      </c>
      <c r="I50" s="5">
        <v>568852.25</v>
      </c>
      <c r="J50">
        <v>2</v>
      </c>
      <c r="K50">
        <v>62</v>
      </c>
      <c r="L50" s="3">
        <v>0.80645161290322576</v>
      </c>
      <c r="M50" s="5">
        <v>28442612.5</v>
      </c>
      <c r="N50" s="5">
        <v>30000000</v>
      </c>
    </row>
    <row r="51" spans="1:14" x14ac:dyDescent="0.45">
      <c r="A51" s="33">
        <v>45351</v>
      </c>
      <c r="B51">
        <v>29</v>
      </c>
      <c r="C51" t="s">
        <v>22</v>
      </c>
      <c r="D51">
        <v>2024</v>
      </c>
      <c r="E51">
        <v>9</v>
      </c>
      <c r="F51" t="s">
        <v>18</v>
      </c>
      <c r="G51">
        <v>57</v>
      </c>
      <c r="H51">
        <v>105</v>
      </c>
      <c r="I51" s="5">
        <v>508893.85964912281</v>
      </c>
      <c r="J51">
        <v>1.8421052631578949</v>
      </c>
      <c r="K51">
        <v>72</v>
      </c>
      <c r="L51" s="3">
        <v>0.79166666666666663</v>
      </c>
      <c r="M51" s="5">
        <v>29006950</v>
      </c>
      <c r="N51" s="5">
        <v>30000000</v>
      </c>
    </row>
    <row r="52" spans="1:14" x14ac:dyDescent="0.45">
      <c r="A52" s="33">
        <v>45352</v>
      </c>
      <c r="B52">
        <v>1</v>
      </c>
      <c r="C52" t="s">
        <v>23</v>
      </c>
      <c r="D52">
        <v>2024</v>
      </c>
      <c r="E52">
        <v>9</v>
      </c>
      <c r="F52" t="s">
        <v>19</v>
      </c>
      <c r="G52">
        <v>49</v>
      </c>
      <c r="H52">
        <v>81</v>
      </c>
      <c r="I52" s="5">
        <v>507211.14285714278</v>
      </c>
      <c r="J52">
        <v>1.653061224489796</v>
      </c>
      <c r="K52">
        <v>71</v>
      </c>
      <c r="L52" s="3">
        <v>0.6901408450704225</v>
      </c>
      <c r="M52" s="5">
        <v>24853346</v>
      </c>
      <c r="N52" s="5">
        <v>25000000</v>
      </c>
    </row>
    <row r="53" spans="1:14" x14ac:dyDescent="0.45">
      <c r="A53" s="33">
        <v>45353</v>
      </c>
      <c r="B53">
        <v>2</v>
      </c>
      <c r="C53" t="s">
        <v>23</v>
      </c>
      <c r="D53">
        <v>2024</v>
      </c>
      <c r="E53">
        <v>9</v>
      </c>
      <c r="F53" t="s">
        <v>20</v>
      </c>
      <c r="G53">
        <v>80</v>
      </c>
      <c r="H53">
        <v>136</v>
      </c>
      <c r="I53" s="5">
        <v>530198.38749999995</v>
      </c>
      <c r="J53">
        <v>1.7</v>
      </c>
      <c r="K53">
        <v>105</v>
      </c>
      <c r="L53" s="3">
        <v>0.76190476190476186</v>
      </c>
      <c r="M53" s="5">
        <v>42415871</v>
      </c>
      <c r="N53" s="5">
        <v>40000000</v>
      </c>
    </row>
    <row r="54" spans="1:14" x14ac:dyDescent="0.45">
      <c r="A54" s="33">
        <v>45354</v>
      </c>
      <c r="B54">
        <v>3</v>
      </c>
      <c r="C54" t="s">
        <v>23</v>
      </c>
      <c r="D54">
        <v>2024</v>
      </c>
      <c r="E54">
        <v>9</v>
      </c>
      <c r="F54" t="s">
        <v>21</v>
      </c>
      <c r="G54">
        <v>71</v>
      </c>
      <c r="H54">
        <v>138</v>
      </c>
      <c r="I54" s="5">
        <v>594965.07042253518</v>
      </c>
      <c r="J54">
        <v>1.943661971830986</v>
      </c>
      <c r="K54">
        <v>102</v>
      </c>
      <c r="L54" s="3">
        <v>0.69607843137254899</v>
      </c>
      <c r="M54" s="5">
        <v>42242520</v>
      </c>
      <c r="N54" s="5">
        <v>35000000</v>
      </c>
    </row>
    <row r="55" spans="1:14" x14ac:dyDescent="0.45">
      <c r="A55" s="33">
        <v>45355</v>
      </c>
      <c r="B55">
        <v>4</v>
      </c>
      <c r="C55" t="s">
        <v>23</v>
      </c>
      <c r="D55">
        <v>2024</v>
      </c>
      <c r="E55">
        <v>10</v>
      </c>
      <c r="F55" t="s">
        <v>15</v>
      </c>
      <c r="G55">
        <v>47</v>
      </c>
      <c r="H55">
        <v>86</v>
      </c>
      <c r="I55" s="5">
        <v>558985.10637446807</v>
      </c>
      <c r="J55">
        <v>1.8297872340425529</v>
      </c>
      <c r="K55">
        <v>65</v>
      </c>
      <c r="L55" s="3">
        <v>0.72307692307692306</v>
      </c>
      <c r="M55" s="5">
        <v>26272299.999600001</v>
      </c>
      <c r="N55" s="5">
        <v>28000000</v>
      </c>
    </row>
    <row r="56" spans="1:14" x14ac:dyDescent="0.45">
      <c r="A56" s="33">
        <v>45356</v>
      </c>
      <c r="B56">
        <v>5</v>
      </c>
      <c r="C56" t="s">
        <v>23</v>
      </c>
      <c r="D56">
        <v>2024</v>
      </c>
      <c r="E56">
        <v>10</v>
      </c>
      <c r="F56" t="s">
        <v>16</v>
      </c>
      <c r="G56">
        <v>68</v>
      </c>
      <c r="H56">
        <v>124</v>
      </c>
      <c r="I56" s="5">
        <v>590461.47058676463</v>
      </c>
      <c r="J56">
        <v>1.8235294117647061</v>
      </c>
      <c r="K56">
        <v>89</v>
      </c>
      <c r="L56" s="3">
        <v>0.7640449438202247</v>
      </c>
      <c r="M56" s="5">
        <v>40151379.999899998</v>
      </c>
      <c r="N56" s="5">
        <v>35000000</v>
      </c>
    </row>
    <row r="57" spans="1:14" x14ac:dyDescent="0.45">
      <c r="A57" s="33">
        <v>45357</v>
      </c>
      <c r="B57">
        <v>6</v>
      </c>
      <c r="C57" t="s">
        <v>23</v>
      </c>
      <c r="D57">
        <v>2024</v>
      </c>
      <c r="E57">
        <v>10</v>
      </c>
      <c r="F57" t="s">
        <v>17</v>
      </c>
      <c r="G57">
        <v>64</v>
      </c>
      <c r="H57">
        <v>121</v>
      </c>
      <c r="I57" s="5">
        <v>568400.26562031254</v>
      </c>
      <c r="J57">
        <v>1.890625</v>
      </c>
      <c r="K57">
        <v>83</v>
      </c>
      <c r="L57" s="3">
        <v>0.77108433734939763</v>
      </c>
      <c r="M57" s="5">
        <v>36377616.999700002</v>
      </c>
      <c r="N57" s="5">
        <v>35000000</v>
      </c>
    </row>
    <row r="58" spans="1:14" x14ac:dyDescent="0.45">
      <c r="A58" s="33">
        <v>45358</v>
      </c>
      <c r="B58">
        <v>7</v>
      </c>
      <c r="C58" t="s">
        <v>23</v>
      </c>
      <c r="D58">
        <v>2024</v>
      </c>
      <c r="E58">
        <v>10</v>
      </c>
      <c r="F58" t="s">
        <v>18</v>
      </c>
      <c r="G58">
        <v>81</v>
      </c>
      <c r="H58">
        <v>160</v>
      </c>
      <c r="I58" s="5">
        <v>622239.25926543213</v>
      </c>
      <c r="J58">
        <v>1.975308641975309</v>
      </c>
      <c r="K58">
        <v>122</v>
      </c>
      <c r="L58" s="3">
        <v>0.66393442622950816</v>
      </c>
      <c r="M58" s="5">
        <v>50401380.000500001</v>
      </c>
      <c r="N58" s="5">
        <v>40000000</v>
      </c>
    </row>
    <row r="59" spans="1:14" x14ac:dyDescent="0.45">
      <c r="A59" s="33">
        <v>45359</v>
      </c>
      <c r="B59">
        <v>8</v>
      </c>
      <c r="C59" t="s">
        <v>23</v>
      </c>
      <c r="D59">
        <v>2024</v>
      </c>
      <c r="E59">
        <v>10</v>
      </c>
      <c r="F59" t="s">
        <v>19</v>
      </c>
      <c r="G59">
        <v>54</v>
      </c>
      <c r="H59">
        <v>101</v>
      </c>
      <c r="I59" s="5">
        <v>539701.79629629629</v>
      </c>
      <c r="J59">
        <v>1.87037037037037</v>
      </c>
      <c r="K59">
        <v>82</v>
      </c>
      <c r="L59" s="3">
        <v>0.65853658536585369</v>
      </c>
      <c r="M59" s="5">
        <v>29143897</v>
      </c>
      <c r="N59" s="5">
        <v>50000000</v>
      </c>
    </row>
    <row r="60" spans="1:14" x14ac:dyDescent="0.45">
      <c r="A60" s="33">
        <v>45360</v>
      </c>
      <c r="B60">
        <v>9</v>
      </c>
      <c r="C60" t="s">
        <v>23</v>
      </c>
      <c r="D60">
        <v>2024</v>
      </c>
      <c r="E60">
        <v>10</v>
      </c>
      <c r="F60" t="s">
        <v>20</v>
      </c>
      <c r="G60">
        <v>87</v>
      </c>
      <c r="H60">
        <v>136</v>
      </c>
      <c r="I60" s="5">
        <v>490290.908045977</v>
      </c>
      <c r="J60">
        <v>1.563218390804598</v>
      </c>
      <c r="K60">
        <v>128</v>
      </c>
      <c r="L60" s="3">
        <v>0.6796875</v>
      </c>
      <c r="M60" s="5">
        <v>42655309</v>
      </c>
      <c r="N60" s="5">
        <v>45000000</v>
      </c>
    </row>
    <row r="61" spans="1:14" x14ac:dyDescent="0.45">
      <c r="A61" s="33">
        <v>45361</v>
      </c>
      <c r="B61">
        <v>10</v>
      </c>
      <c r="C61" t="s">
        <v>23</v>
      </c>
      <c r="D61">
        <v>2024</v>
      </c>
      <c r="E61">
        <v>10</v>
      </c>
      <c r="F61" t="s">
        <v>21</v>
      </c>
      <c r="G61">
        <v>64</v>
      </c>
      <c r="H61">
        <v>117</v>
      </c>
      <c r="I61" s="5">
        <v>624440.21875</v>
      </c>
      <c r="J61">
        <v>1.828125</v>
      </c>
      <c r="K61">
        <v>93</v>
      </c>
      <c r="L61" s="3">
        <v>0.68817204301075274</v>
      </c>
      <c r="M61" s="5">
        <v>39964174</v>
      </c>
      <c r="N61" s="5">
        <v>35000000</v>
      </c>
    </row>
    <row r="62" spans="1:14" x14ac:dyDescent="0.45">
      <c r="A62" s="33">
        <v>45362</v>
      </c>
      <c r="B62">
        <v>11</v>
      </c>
      <c r="C62" t="s">
        <v>23</v>
      </c>
      <c r="D62">
        <v>2024</v>
      </c>
      <c r="E62">
        <v>11</v>
      </c>
      <c r="F62" t="s">
        <v>15</v>
      </c>
      <c r="G62">
        <v>65</v>
      </c>
      <c r="H62">
        <v>106</v>
      </c>
      <c r="I62" s="5">
        <v>518712.30769230769</v>
      </c>
      <c r="J62">
        <v>1.630769230769231</v>
      </c>
      <c r="K62">
        <v>79</v>
      </c>
      <c r="L62" s="3">
        <v>0.82278481012658233</v>
      </c>
      <c r="M62" s="5">
        <v>33716300</v>
      </c>
      <c r="N62" s="5">
        <v>25000000</v>
      </c>
    </row>
    <row r="63" spans="1:14" x14ac:dyDescent="0.45">
      <c r="A63" s="33">
        <v>45363</v>
      </c>
      <c r="B63">
        <v>12</v>
      </c>
      <c r="C63" t="s">
        <v>23</v>
      </c>
      <c r="D63">
        <v>2024</v>
      </c>
      <c r="E63">
        <v>11</v>
      </c>
      <c r="F63" t="s">
        <v>16</v>
      </c>
      <c r="G63">
        <v>49</v>
      </c>
      <c r="H63">
        <v>82</v>
      </c>
      <c r="I63" s="5">
        <v>506501.89795918373</v>
      </c>
      <c r="J63">
        <v>1.6734693877551019</v>
      </c>
      <c r="K63">
        <v>75</v>
      </c>
      <c r="L63" s="3">
        <v>0.65333333333333332</v>
      </c>
      <c r="M63" s="5">
        <v>24818593</v>
      </c>
      <c r="N63" s="5">
        <v>28000000</v>
      </c>
    </row>
    <row r="64" spans="1:14" x14ac:dyDescent="0.45">
      <c r="A64" s="33">
        <v>45364</v>
      </c>
      <c r="B64">
        <v>13</v>
      </c>
      <c r="C64" t="s">
        <v>23</v>
      </c>
      <c r="D64">
        <v>2024</v>
      </c>
      <c r="E64">
        <v>11</v>
      </c>
      <c r="F64" t="s">
        <v>17</v>
      </c>
      <c r="G64">
        <v>67</v>
      </c>
      <c r="H64">
        <v>123</v>
      </c>
      <c r="I64" s="5">
        <v>558938.34328656725</v>
      </c>
      <c r="J64">
        <v>1.835820895522388</v>
      </c>
      <c r="K64">
        <v>103</v>
      </c>
      <c r="L64" s="3">
        <v>0.65048543689320393</v>
      </c>
      <c r="M64" s="5">
        <v>37448869.000200003</v>
      </c>
      <c r="N64" s="5">
        <v>28000000</v>
      </c>
    </row>
    <row r="65" spans="1:14" x14ac:dyDescent="0.45">
      <c r="A65" s="33">
        <v>45365</v>
      </c>
      <c r="B65">
        <v>14</v>
      </c>
      <c r="C65" t="s">
        <v>23</v>
      </c>
      <c r="D65">
        <v>2024</v>
      </c>
      <c r="E65">
        <v>11</v>
      </c>
      <c r="F65" t="s">
        <v>18</v>
      </c>
      <c r="G65">
        <v>75</v>
      </c>
      <c r="H65">
        <v>139</v>
      </c>
      <c r="I65" s="5">
        <v>597428.53333333333</v>
      </c>
      <c r="J65">
        <v>1.8533333333333331</v>
      </c>
      <c r="K65">
        <v>122</v>
      </c>
      <c r="L65" s="3">
        <v>0.61475409836065575</v>
      </c>
      <c r="M65" s="5">
        <v>44807140</v>
      </c>
      <c r="N65" s="5">
        <v>28000000</v>
      </c>
    </row>
    <row r="66" spans="1:14" x14ac:dyDescent="0.45">
      <c r="A66" s="33">
        <v>45366</v>
      </c>
      <c r="B66">
        <v>15</v>
      </c>
      <c r="C66" t="s">
        <v>23</v>
      </c>
      <c r="D66">
        <v>2024</v>
      </c>
      <c r="E66">
        <v>11</v>
      </c>
      <c r="F66" t="s">
        <v>19</v>
      </c>
      <c r="G66">
        <v>75</v>
      </c>
      <c r="H66">
        <v>143</v>
      </c>
      <c r="I66" s="5">
        <v>605854.66666533332</v>
      </c>
      <c r="J66">
        <v>1.906666666666667</v>
      </c>
      <c r="K66">
        <v>110</v>
      </c>
      <c r="L66" s="3">
        <v>0.68181818181818177</v>
      </c>
      <c r="M66" s="5">
        <v>45439099.999899998</v>
      </c>
      <c r="N66" s="5">
        <v>35000000</v>
      </c>
    </row>
    <row r="67" spans="1:14" x14ac:dyDescent="0.45">
      <c r="A67" s="33">
        <v>45367</v>
      </c>
      <c r="B67">
        <v>16</v>
      </c>
      <c r="C67" t="s">
        <v>23</v>
      </c>
      <c r="D67">
        <v>2024</v>
      </c>
      <c r="E67">
        <v>11</v>
      </c>
      <c r="F67" t="s">
        <v>20</v>
      </c>
      <c r="G67">
        <v>101</v>
      </c>
      <c r="H67">
        <v>179</v>
      </c>
      <c r="I67" s="5">
        <v>545530.6930693069</v>
      </c>
      <c r="J67">
        <v>1.7722772277227721</v>
      </c>
      <c r="K67">
        <v>140</v>
      </c>
      <c r="L67" s="3">
        <v>0.72142857142857142</v>
      </c>
      <c r="M67" s="5">
        <v>55098600</v>
      </c>
      <c r="N67" s="5">
        <v>40000000</v>
      </c>
    </row>
    <row r="68" spans="1:14" x14ac:dyDescent="0.45">
      <c r="A68" s="33">
        <v>45368</v>
      </c>
      <c r="B68">
        <v>17</v>
      </c>
      <c r="C68" t="s">
        <v>23</v>
      </c>
      <c r="D68">
        <v>2024</v>
      </c>
      <c r="E68">
        <v>11</v>
      </c>
      <c r="F68" t="s">
        <v>21</v>
      </c>
      <c r="G68">
        <v>62</v>
      </c>
      <c r="H68">
        <v>119</v>
      </c>
      <c r="I68" s="5">
        <v>626920.96774193551</v>
      </c>
      <c r="J68">
        <v>1.919354838709677</v>
      </c>
      <c r="K68">
        <v>101</v>
      </c>
      <c r="L68" s="3">
        <v>0.61386138613861385</v>
      </c>
      <c r="M68" s="5">
        <v>38869100</v>
      </c>
      <c r="N68" s="5">
        <v>35000000</v>
      </c>
    </row>
    <row r="69" spans="1:14" x14ac:dyDescent="0.45">
      <c r="A69" s="33">
        <v>45369</v>
      </c>
      <c r="B69">
        <v>18</v>
      </c>
      <c r="C69" t="s">
        <v>23</v>
      </c>
      <c r="D69">
        <v>2024</v>
      </c>
      <c r="E69">
        <v>12</v>
      </c>
      <c r="F69" t="s">
        <v>15</v>
      </c>
      <c r="G69">
        <v>35</v>
      </c>
      <c r="H69">
        <v>87</v>
      </c>
      <c r="I69" s="5">
        <v>732957.45714285714</v>
      </c>
      <c r="J69">
        <v>2.4857142857142862</v>
      </c>
      <c r="K69">
        <v>58</v>
      </c>
      <c r="L69" s="3">
        <v>0.60344827586206895</v>
      </c>
      <c r="M69" s="5">
        <v>25653511</v>
      </c>
      <c r="N69" s="5">
        <v>25000000</v>
      </c>
    </row>
    <row r="70" spans="1:14" x14ac:dyDescent="0.45">
      <c r="A70" s="33">
        <v>45370</v>
      </c>
      <c r="B70">
        <v>19</v>
      </c>
      <c r="C70" t="s">
        <v>23</v>
      </c>
      <c r="D70">
        <v>2024</v>
      </c>
      <c r="E70">
        <v>12</v>
      </c>
      <c r="F70" t="s">
        <v>16</v>
      </c>
      <c r="G70">
        <v>55</v>
      </c>
      <c r="H70">
        <v>96</v>
      </c>
      <c r="I70" s="5">
        <v>533650</v>
      </c>
      <c r="J70">
        <v>1.7454545454545449</v>
      </c>
      <c r="K70">
        <v>79</v>
      </c>
      <c r="L70" s="3">
        <v>0.69620253164556967</v>
      </c>
      <c r="M70" s="5">
        <v>29350750</v>
      </c>
      <c r="N70" s="5">
        <v>28000000</v>
      </c>
    </row>
    <row r="71" spans="1:14" x14ac:dyDescent="0.45">
      <c r="A71" s="33">
        <v>45371</v>
      </c>
      <c r="B71">
        <v>20</v>
      </c>
      <c r="C71" t="s">
        <v>23</v>
      </c>
      <c r="D71">
        <v>2024</v>
      </c>
      <c r="E71">
        <v>12</v>
      </c>
      <c r="F71" t="s">
        <v>17</v>
      </c>
      <c r="G71">
        <v>49</v>
      </c>
      <c r="H71">
        <v>85</v>
      </c>
      <c r="I71" s="5">
        <v>544237.95918367349</v>
      </c>
      <c r="J71">
        <v>1.7346938775510199</v>
      </c>
      <c r="K71">
        <v>71</v>
      </c>
      <c r="L71" s="3">
        <v>0.6901408450704225</v>
      </c>
      <c r="M71" s="5">
        <v>26667660</v>
      </c>
      <c r="N71" s="5">
        <v>28000000</v>
      </c>
    </row>
    <row r="72" spans="1:14" x14ac:dyDescent="0.45">
      <c r="A72" s="33">
        <v>45372</v>
      </c>
      <c r="B72">
        <v>21</v>
      </c>
      <c r="C72" t="s">
        <v>23</v>
      </c>
      <c r="D72">
        <v>2024</v>
      </c>
      <c r="E72">
        <v>12</v>
      </c>
      <c r="F72" t="s">
        <v>18</v>
      </c>
      <c r="G72">
        <v>47</v>
      </c>
      <c r="H72">
        <v>82</v>
      </c>
      <c r="I72" s="5">
        <v>557445.04255319154</v>
      </c>
      <c r="J72">
        <v>1.7446808510638301</v>
      </c>
      <c r="K72">
        <v>69</v>
      </c>
      <c r="L72" s="3">
        <v>0.6811594202898551</v>
      </c>
      <c r="M72" s="5">
        <v>26199917</v>
      </c>
      <c r="N72" s="5">
        <v>28000000</v>
      </c>
    </row>
    <row r="73" spans="1:14" x14ac:dyDescent="0.45">
      <c r="A73" s="33">
        <v>45373</v>
      </c>
      <c r="B73">
        <v>22</v>
      </c>
      <c r="C73" t="s">
        <v>23</v>
      </c>
      <c r="D73">
        <v>2024</v>
      </c>
      <c r="E73">
        <v>12</v>
      </c>
      <c r="F73" t="s">
        <v>19</v>
      </c>
      <c r="G73">
        <v>69</v>
      </c>
      <c r="H73">
        <v>113</v>
      </c>
      <c r="I73" s="5">
        <v>521582.84057971009</v>
      </c>
      <c r="J73">
        <v>1.63768115942029</v>
      </c>
      <c r="K73">
        <v>118</v>
      </c>
      <c r="L73" s="3">
        <v>0.5847457627118644</v>
      </c>
      <c r="M73" s="5">
        <v>35989216</v>
      </c>
      <c r="N73" s="5">
        <v>35000000</v>
      </c>
    </row>
    <row r="74" spans="1:14" x14ac:dyDescent="0.45">
      <c r="A74" s="33">
        <v>45374</v>
      </c>
      <c r="B74">
        <v>23</v>
      </c>
      <c r="C74" t="s">
        <v>23</v>
      </c>
      <c r="D74">
        <v>2024</v>
      </c>
      <c r="E74">
        <v>12</v>
      </c>
      <c r="F74" t="s">
        <v>20</v>
      </c>
      <c r="G74">
        <v>63</v>
      </c>
      <c r="H74">
        <v>110</v>
      </c>
      <c r="I74" s="5">
        <v>531003.17460317456</v>
      </c>
      <c r="J74">
        <v>1.746031746031746</v>
      </c>
      <c r="K74">
        <v>103</v>
      </c>
      <c r="L74" s="3">
        <v>0.61165048543689315</v>
      </c>
      <c r="M74" s="5">
        <v>33453200</v>
      </c>
      <c r="N74" s="5">
        <v>40000000</v>
      </c>
    </row>
    <row r="75" spans="1:14" x14ac:dyDescent="0.45">
      <c r="A75" s="33">
        <v>45375</v>
      </c>
      <c r="B75">
        <v>24</v>
      </c>
      <c r="C75" t="s">
        <v>23</v>
      </c>
      <c r="D75">
        <v>2024</v>
      </c>
      <c r="E75">
        <v>12</v>
      </c>
      <c r="F75" t="s">
        <v>21</v>
      </c>
      <c r="G75">
        <v>60</v>
      </c>
      <c r="H75">
        <v>132</v>
      </c>
      <c r="I75" s="5">
        <v>654736.33333333337</v>
      </c>
      <c r="J75">
        <v>2.2000000000000002</v>
      </c>
      <c r="K75">
        <v>104</v>
      </c>
      <c r="L75" s="3">
        <v>0.57692307692307687</v>
      </c>
      <c r="M75" s="5">
        <v>39284180</v>
      </c>
      <c r="N75" s="5">
        <v>35000000</v>
      </c>
    </row>
    <row r="76" spans="1:14" x14ac:dyDescent="0.45">
      <c r="A76" s="33">
        <v>45376</v>
      </c>
      <c r="B76">
        <v>25</v>
      </c>
      <c r="C76" t="s">
        <v>23</v>
      </c>
      <c r="D76">
        <v>2024</v>
      </c>
      <c r="E76">
        <v>13</v>
      </c>
      <c r="F76" t="s">
        <v>15</v>
      </c>
      <c r="G76">
        <v>49</v>
      </c>
      <c r="H76">
        <v>84</v>
      </c>
      <c r="I76" s="5">
        <v>496056.12244897959</v>
      </c>
      <c r="J76">
        <v>1.714285714285714</v>
      </c>
      <c r="K76">
        <v>72</v>
      </c>
      <c r="L76" s="3">
        <v>0.68055555555555558</v>
      </c>
      <c r="M76" s="5">
        <v>24306750</v>
      </c>
      <c r="N76" s="5">
        <v>20000000</v>
      </c>
    </row>
    <row r="77" spans="1:14" x14ac:dyDescent="0.45">
      <c r="A77" s="33">
        <v>45377</v>
      </c>
      <c r="B77">
        <v>26</v>
      </c>
      <c r="C77" t="s">
        <v>23</v>
      </c>
      <c r="D77">
        <v>2024</v>
      </c>
      <c r="E77">
        <v>13</v>
      </c>
      <c r="F77" t="s">
        <v>16</v>
      </c>
      <c r="G77">
        <v>48</v>
      </c>
      <c r="H77">
        <v>96</v>
      </c>
      <c r="I77" s="5">
        <v>613293.74999791663</v>
      </c>
      <c r="J77">
        <v>2</v>
      </c>
      <c r="K77">
        <v>63</v>
      </c>
      <c r="L77" s="3">
        <v>0.76190476190476186</v>
      </c>
      <c r="M77" s="5">
        <v>29438099.999899998</v>
      </c>
      <c r="N77" s="5">
        <v>28000000</v>
      </c>
    </row>
    <row r="78" spans="1:14" x14ac:dyDescent="0.45">
      <c r="A78" s="33">
        <v>45378</v>
      </c>
      <c r="B78">
        <v>27</v>
      </c>
      <c r="C78" t="s">
        <v>23</v>
      </c>
      <c r="D78">
        <v>2024</v>
      </c>
      <c r="E78">
        <v>13</v>
      </c>
      <c r="F78" t="s">
        <v>17</v>
      </c>
      <c r="G78">
        <v>48</v>
      </c>
      <c r="H78">
        <v>93</v>
      </c>
      <c r="I78" s="5">
        <v>578016.66666666663</v>
      </c>
      <c r="J78">
        <v>1.9375</v>
      </c>
      <c r="K78">
        <v>69</v>
      </c>
      <c r="L78" s="3">
        <v>0.69565217391304346</v>
      </c>
      <c r="M78" s="5">
        <v>27744800</v>
      </c>
      <c r="N78" s="5">
        <v>28000000</v>
      </c>
    </row>
    <row r="79" spans="1:14" x14ac:dyDescent="0.45">
      <c r="A79" s="33">
        <v>45379</v>
      </c>
      <c r="B79">
        <v>28</v>
      </c>
      <c r="C79" t="s">
        <v>23</v>
      </c>
      <c r="D79">
        <v>2024</v>
      </c>
      <c r="E79">
        <v>13</v>
      </c>
      <c r="F79" t="s">
        <v>18</v>
      </c>
      <c r="G79">
        <v>57</v>
      </c>
      <c r="H79">
        <v>107</v>
      </c>
      <c r="I79" s="5">
        <v>571685.26315789472</v>
      </c>
      <c r="J79">
        <v>1.87719298245614</v>
      </c>
      <c r="K79">
        <v>90</v>
      </c>
      <c r="L79" s="3">
        <v>0.6333333333333333</v>
      </c>
      <c r="M79" s="5">
        <v>32586060</v>
      </c>
      <c r="N79" s="5">
        <v>28000000</v>
      </c>
    </row>
    <row r="80" spans="1:14" x14ac:dyDescent="0.45">
      <c r="A80" s="33">
        <v>45380</v>
      </c>
      <c r="B80">
        <v>29</v>
      </c>
      <c r="C80" t="s">
        <v>23</v>
      </c>
      <c r="D80">
        <v>2024</v>
      </c>
      <c r="E80">
        <v>13</v>
      </c>
      <c r="F80" t="s">
        <v>19</v>
      </c>
      <c r="G80">
        <v>60</v>
      </c>
      <c r="H80">
        <v>127</v>
      </c>
      <c r="I80" s="5">
        <v>596345.99999833328</v>
      </c>
      <c r="J80">
        <v>2.1166666666666671</v>
      </c>
      <c r="K80">
        <v>92</v>
      </c>
      <c r="L80" s="3">
        <v>0.65217391304347827</v>
      </c>
      <c r="M80" s="5">
        <v>35780759.999899998</v>
      </c>
      <c r="N80" s="5">
        <v>35000000</v>
      </c>
    </row>
    <row r="81" spans="1:14" x14ac:dyDescent="0.45">
      <c r="A81" s="33">
        <v>45381</v>
      </c>
      <c r="B81">
        <v>30</v>
      </c>
      <c r="C81" t="s">
        <v>23</v>
      </c>
      <c r="D81">
        <v>2024</v>
      </c>
      <c r="E81">
        <v>13</v>
      </c>
      <c r="F81" t="s">
        <v>20</v>
      </c>
      <c r="G81">
        <v>61</v>
      </c>
      <c r="H81">
        <v>135</v>
      </c>
      <c r="I81" s="5">
        <v>652040.16393442627</v>
      </c>
      <c r="J81">
        <v>2.2131147540983611</v>
      </c>
      <c r="K81">
        <v>109</v>
      </c>
      <c r="L81" s="3">
        <v>0.55963302752293576</v>
      </c>
      <c r="M81" s="5">
        <v>39774450</v>
      </c>
      <c r="N81" s="5">
        <v>45000000</v>
      </c>
    </row>
    <row r="82" spans="1:14" x14ac:dyDescent="0.45">
      <c r="A82" s="33">
        <v>45382</v>
      </c>
      <c r="B82">
        <v>31</v>
      </c>
      <c r="C82" t="s">
        <v>23</v>
      </c>
      <c r="D82">
        <v>2024</v>
      </c>
      <c r="E82">
        <v>13</v>
      </c>
      <c r="F82" t="s">
        <v>21</v>
      </c>
      <c r="G82">
        <v>69</v>
      </c>
      <c r="H82">
        <v>168</v>
      </c>
      <c r="I82" s="5">
        <v>676731.1594202898</v>
      </c>
      <c r="J82">
        <v>2.4347826086956519</v>
      </c>
      <c r="K82">
        <v>117</v>
      </c>
      <c r="L82" s="3">
        <v>0.58974358974358976</v>
      </c>
      <c r="M82" s="5">
        <v>46694450</v>
      </c>
      <c r="N82" s="5">
        <v>35000000</v>
      </c>
    </row>
    <row r="83" spans="1:14" x14ac:dyDescent="0.45">
      <c r="A83" s="33">
        <v>45383</v>
      </c>
      <c r="B83">
        <v>1</v>
      </c>
      <c r="C83" t="s">
        <v>24</v>
      </c>
      <c r="D83">
        <v>2024</v>
      </c>
      <c r="E83">
        <v>14</v>
      </c>
      <c r="F83" t="s">
        <v>15</v>
      </c>
      <c r="G83">
        <v>50</v>
      </c>
      <c r="H83">
        <v>84</v>
      </c>
      <c r="I83" s="5">
        <v>499457.68</v>
      </c>
      <c r="J83">
        <v>1.68</v>
      </c>
      <c r="K83">
        <v>68</v>
      </c>
      <c r="L83" s="3">
        <v>0.73529411764705888</v>
      </c>
      <c r="M83" s="5">
        <v>24972884</v>
      </c>
      <c r="N83" s="5">
        <v>25000000</v>
      </c>
    </row>
    <row r="84" spans="1:14" x14ac:dyDescent="0.45">
      <c r="A84" s="33">
        <v>45384</v>
      </c>
      <c r="B84">
        <v>2</v>
      </c>
      <c r="C84" t="s">
        <v>24</v>
      </c>
      <c r="D84">
        <v>2024</v>
      </c>
      <c r="E84">
        <v>14</v>
      </c>
      <c r="F84" t="s">
        <v>16</v>
      </c>
      <c r="G84">
        <v>54</v>
      </c>
      <c r="H84">
        <v>81</v>
      </c>
      <c r="I84" s="5">
        <v>480965.03703703702</v>
      </c>
      <c r="J84">
        <v>1.5</v>
      </c>
      <c r="K84">
        <v>91</v>
      </c>
      <c r="L84" s="3">
        <v>0.59340659340659341</v>
      </c>
      <c r="M84" s="5">
        <v>25972112</v>
      </c>
      <c r="N84" s="5">
        <v>25000000</v>
      </c>
    </row>
    <row r="85" spans="1:14" x14ac:dyDescent="0.45">
      <c r="A85" s="33">
        <v>45385</v>
      </c>
      <c r="B85">
        <v>3</v>
      </c>
      <c r="C85" t="s">
        <v>24</v>
      </c>
      <c r="D85">
        <v>2024</v>
      </c>
      <c r="E85">
        <v>14</v>
      </c>
      <c r="F85" t="s">
        <v>17</v>
      </c>
      <c r="G85">
        <v>58</v>
      </c>
      <c r="H85">
        <v>100</v>
      </c>
      <c r="I85" s="5">
        <v>513894.5</v>
      </c>
      <c r="J85">
        <v>1.7241379310344831</v>
      </c>
      <c r="K85">
        <v>88</v>
      </c>
      <c r="L85" s="3">
        <v>0.65909090909090906</v>
      </c>
      <c r="M85" s="5">
        <v>29805881</v>
      </c>
      <c r="N85" s="5">
        <v>34000000</v>
      </c>
    </row>
    <row r="86" spans="1:14" x14ac:dyDescent="0.45">
      <c r="A86" s="33">
        <v>45386</v>
      </c>
      <c r="B86">
        <v>4</v>
      </c>
      <c r="C86" t="s">
        <v>24</v>
      </c>
      <c r="D86">
        <v>2024</v>
      </c>
      <c r="E86">
        <v>14</v>
      </c>
      <c r="F86" t="s">
        <v>18</v>
      </c>
      <c r="G86">
        <v>54</v>
      </c>
      <c r="H86">
        <v>93</v>
      </c>
      <c r="I86" s="5">
        <v>504557.31481481477</v>
      </c>
      <c r="J86">
        <v>1.7222222222222221</v>
      </c>
      <c r="K86">
        <v>94</v>
      </c>
      <c r="L86" s="3">
        <v>0.57446808510638303</v>
      </c>
      <c r="M86" s="5">
        <v>27246095</v>
      </c>
      <c r="N86" s="5">
        <v>34000000</v>
      </c>
    </row>
    <row r="87" spans="1:14" x14ac:dyDescent="0.45">
      <c r="A87" s="33">
        <v>45387</v>
      </c>
      <c r="B87">
        <v>5</v>
      </c>
      <c r="C87" t="s">
        <v>24</v>
      </c>
      <c r="D87">
        <v>2024</v>
      </c>
      <c r="E87">
        <v>14</v>
      </c>
      <c r="F87" t="s">
        <v>19</v>
      </c>
      <c r="G87">
        <v>60</v>
      </c>
      <c r="H87">
        <v>125</v>
      </c>
      <c r="I87" s="5">
        <v>590450.83333333337</v>
      </c>
      <c r="J87">
        <v>2.083333333333333</v>
      </c>
      <c r="K87">
        <v>92</v>
      </c>
      <c r="L87" s="3">
        <v>0.65217391304347827</v>
      </c>
      <c r="M87" s="5">
        <v>35427050</v>
      </c>
      <c r="N87" s="5">
        <v>35000000</v>
      </c>
    </row>
    <row r="88" spans="1:14" x14ac:dyDescent="0.45">
      <c r="A88" s="33">
        <v>45388</v>
      </c>
      <c r="B88">
        <v>6</v>
      </c>
      <c r="C88" t="s">
        <v>24</v>
      </c>
      <c r="D88">
        <v>2024</v>
      </c>
      <c r="E88">
        <v>14</v>
      </c>
      <c r="F88" t="s">
        <v>20</v>
      </c>
      <c r="G88">
        <v>83</v>
      </c>
      <c r="H88">
        <v>153</v>
      </c>
      <c r="I88" s="5">
        <v>546868.67469879519</v>
      </c>
      <c r="J88">
        <v>1.8433734939759041</v>
      </c>
      <c r="K88">
        <v>124</v>
      </c>
      <c r="L88" s="3">
        <v>0.66935483870967738</v>
      </c>
      <c r="M88" s="5">
        <v>45390100</v>
      </c>
      <c r="N88" s="5">
        <v>45000000</v>
      </c>
    </row>
    <row r="89" spans="1:14" x14ac:dyDescent="0.45">
      <c r="A89" s="33">
        <v>45389</v>
      </c>
      <c r="B89">
        <v>7</v>
      </c>
      <c r="C89" t="s">
        <v>24</v>
      </c>
      <c r="D89">
        <v>2024</v>
      </c>
      <c r="E89">
        <v>14</v>
      </c>
      <c r="F89" t="s">
        <v>21</v>
      </c>
      <c r="G89">
        <v>74</v>
      </c>
      <c r="H89">
        <v>129</v>
      </c>
      <c r="I89" s="5">
        <v>522868.24324324331</v>
      </c>
      <c r="J89">
        <v>1.743243243243243</v>
      </c>
      <c r="K89">
        <v>119</v>
      </c>
      <c r="L89" s="3">
        <v>0.62184873949579833</v>
      </c>
      <c r="M89" s="5">
        <v>38692250</v>
      </c>
      <c r="N89" s="5">
        <v>40000000</v>
      </c>
    </row>
    <row r="90" spans="1:14" x14ac:dyDescent="0.45">
      <c r="A90" s="33">
        <v>45390</v>
      </c>
      <c r="B90">
        <v>8</v>
      </c>
      <c r="C90" t="s">
        <v>24</v>
      </c>
      <c r="D90">
        <v>2024</v>
      </c>
      <c r="E90">
        <v>15</v>
      </c>
      <c r="F90" t="s">
        <v>15</v>
      </c>
      <c r="G90">
        <v>47</v>
      </c>
      <c r="H90">
        <v>86</v>
      </c>
      <c r="I90" s="5">
        <v>540615.53191489365</v>
      </c>
      <c r="J90">
        <v>1.8297872340425529</v>
      </c>
      <c r="K90">
        <v>94</v>
      </c>
      <c r="L90" s="3">
        <v>0.5</v>
      </c>
      <c r="M90" s="5">
        <v>25408930</v>
      </c>
      <c r="N90" s="5">
        <v>27000000</v>
      </c>
    </row>
    <row r="91" spans="1:14" x14ac:dyDescent="0.45">
      <c r="A91" s="33">
        <v>45391</v>
      </c>
      <c r="B91">
        <v>9</v>
      </c>
      <c r="C91" t="s">
        <v>24</v>
      </c>
      <c r="D91">
        <v>2024</v>
      </c>
      <c r="E91">
        <v>15</v>
      </c>
      <c r="F91" t="s">
        <v>16</v>
      </c>
      <c r="G91">
        <v>37</v>
      </c>
      <c r="H91">
        <v>73</v>
      </c>
      <c r="I91" s="5">
        <v>574337.83783783787</v>
      </c>
      <c r="J91">
        <v>1.972972972972973</v>
      </c>
      <c r="K91">
        <v>58</v>
      </c>
      <c r="L91" s="3">
        <v>0.63793103448275867</v>
      </c>
      <c r="M91" s="5">
        <v>21250500</v>
      </c>
      <c r="N91" s="5">
        <v>27000000</v>
      </c>
    </row>
    <row r="92" spans="1:14" x14ac:dyDescent="0.45">
      <c r="A92" s="33">
        <v>45392</v>
      </c>
      <c r="B92">
        <v>10</v>
      </c>
      <c r="C92" t="s">
        <v>24</v>
      </c>
      <c r="D92">
        <v>2024</v>
      </c>
      <c r="E92">
        <v>15</v>
      </c>
      <c r="F92" t="s">
        <v>17</v>
      </c>
      <c r="G92">
        <v>60</v>
      </c>
      <c r="H92">
        <v>98</v>
      </c>
      <c r="I92" s="5">
        <v>498366.5</v>
      </c>
      <c r="J92">
        <v>1.6333333333333331</v>
      </c>
      <c r="K92">
        <v>92</v>
      </c>
      <c r="L92" s="3">
        <v>0.65217391304347827</v>
      </c>
      <c r="M92" s="5">
        <v>29901990</v>
      </c>
      <c r="N92" s="5">
        <v>35000000</v>
      </c>
    </row>
    <row r="93" spans="1:14" x14ac:dyDescent="0.45">
      <c r="A93" s="33">
        <v>45393</v>
      </c>
      <c r="B93">
        <v>11</v>
      </c>
      <c r="C93" t="s">
        <v>24</v>
      </c>
      <c r="D93">
        <v>2024</v>
      </c>
      <c r="E93">
        <v>15</v>
      </c>
      <c r="F93" t="s">
        <v>18</v>
      </c>
      <c r="G93">
        <v>64</v>
      </c>
      <c r="H93">
        <v>132</v>
      </c>
      <c r="I93" s="5">
        <v>687568.484375</v>
      </c>
      <c r="J93">
        <v>2.0625</v>
      </c>
      <c r="K93">
        <v>123</v>
      </c>
      <c r="L93" s="3">
        <v>0.52032520325203258</v>
      </c>
      <c r="M93" s="5">
        <v>44004383</v>
      </c>
      <c r="N93" s="5">
        <v>35000000</v>
      </c>
    </row>
    <row r="94" spans="1:14" x14ac:dyDescent="0.45">
      <c r="A94" s="33">
        <v>45394</v>
      </c>
      <c r="B94">
        <v>12</v>
      </c>
      <c r="C94" t="s">
        <v>24</v>
      </c>
      <c r="D94">
        <v>2024</v>
      </c>
      <c r="E94">
        <v>15</v>
      </c>
      <c r="F94" t="s">
        <v>19</v>
      </c>
      <c r="G94">
        <v>62</v>
      </c>
      <c r="H94">
        <v>110</v>
      </c>
      <c r="I94" s="5">
        <v>554914.51612903224</v>
      </c>
      <c r="J94">
        <v>1.774193548387097</v>
      </c>
      <c r="K94">
        <v>106</v>
      </c>
      <c r="L94" s="3">
        <v>0.58490566037735847</v>
      </c>
      <c r="M94" s="5">
        <v>34404700</v>
      </c>
      <c r="N94" s="5">
        <v>35000000</v>
      </c>
    </row>
    <row r="95" spans="1:14" x14ac:dyDescent="0.45">
      <c r="A95" s="33">
        <v>45395</v>
      </c>
      <c r="B95">
        <v>13</v>
      </c>
      <c r="C95" t="s">
        <v>24</v>
      </c>
      <c r="D95">
        <v>2024</v>
      </c>
      <c r="E95">
        <v>15</v>
      </c>
      <c r="F95" t="s">
        <v>20</v>
      </c>
      <c r="G95">
        <v>84</v>
      </c>
      <c r="H95">
        <v>151</v>
      </c>
      <c r="I95" s="5">
        <v>548538.69047619053</v>
      </c>
      <c r="J95">
        <v>1.7976190476190479</v>
      </c>
      <c r="K95">
        <v>152</v>
      </c>
      <c r="L95" s="3">
        <v>0.55263157894736847</v>
      </c>
      <c r="M95" s="5">
        <v>46077250</v>
      </c>
      <c r="N95" s="5">
        <v>45000000</v>
      </c>
    </row>
    <row r="96" spans="1:14" x14ac:dyDescent="0.45">
      <c r="A96" s="33">
        <v>45396</v>
      </c>
      <c r="B96">
        <v>14</v>
      </c>
      <c r="C96" t="s">
        <v>24</v>
      </c>
      <c r="D96">
        <v>2024</v>
      </c>
      <c r="E96">
        <v>15</v>
      </c>
      <c r="F96" t="s">
        <v>21</v>
      </c>
      <c r="G96">
        <v>95</v>
      </c>
      <c r="H96">
        <v>184</v>
      </c>
      <c r="I96" s="5">
        <v>599647.75789473683</v>
      </c>
      <c r="J96">
        <v>1.9368421052631579</v>
      </c>
      <c r="K96">
        <v>149</v>
      </c>
      <c r="L96" s="3">
        <v>0.63758389261744963</v>
      </c>
      <c r="M96" s="5">
        <v>56966537</v>
      </c>
      <c r="N96" s="5">
        <v>40000000</v>
      </c>
    </row>
    <row r="97" spans="1:14" x14ac:dyDescent="0.45">
      <c r="A97" s="33">
        <v>45397</v>
      </c>
      <c r="B97">
        <v>15</v>
      </c>
      <c r="C97" t="s">
        <v>24</v>
      </c>
      <c r="D97">
        <v>2024</v>
      </c>
      <c r="E97">
        <v>16</v>
      </c>
      <c r="F97" t="s">
        <v>15</v>
      </c>
      <c r="G97">
        <v>74</v>
      </c>
      <c r="H97">
        <v>143</v>
      </c>
      <c r="I97" s="5">
        <v>528684.0202702703</v>
      </c>
      <c r="J97">
        <v>1.932432432432432</v>
      </c>
      <c r="K97">
        <v>114</v>
      </c>
      <c r="L97" s="3">
        <v>0.64912280701754388</v>
      </c>
      <c r="M97" s="5">
        <v>39122617.5</v>
      </c>
      <c r="N97" s="5">
        <v>35000000</v>
      </c>
    </row>
    <row r="98" spans="1:14" x14ac:dyDescent="0.45">
      <c r="A98" s="33">
        <v>45398</v>
      </c>
      <c r="B98">
        <v>16</v>
      </c>
      <c r="C98" t="s">
        <v>24</v>
      </c>
      <c r="D98">
        <v>2024</v>
      </c>
      <c r="E98">
        <v>16</v>
      </c>
      <c r="F98" t="s">
        <v>16</v>
      </c>
      <c r="G98">
        <v>94</v>
      </c>
      <c r="H98">
        <v>196</v>
      </c>
      <c r="I98" s="5">
        <v>564484.38829787239</v>
      </c>
      <c r="J98">
        <v>2.085106382978724</v>
      </c>
      <c r="K98">
        <v>129</v>
      </c>
      <c r="L98" s="3">
        <v>0.72868217054263562</v>
      </c>
      <c r="M98" s="5">
        <v>53061532.5</v>
      </c>
      <c r="N98" s="5">
        <v>40000000</v>
      </c>
    </row>
    <row r="99" spans="1:14" x14ac:dyDescent="0.45">
      <c r="A99" s="33">
        <v>45399</v>
      </c>
      <c r="B99">
        <v>17</v>
      </c>
      <c r="C99" t="s">
        <v>24</v>
      </c>
      <c r="D99">
        <v>2024</v>
      </c>
      <c r="E99">
        <v>16</v>
      </c>
      <c r="F99" t="s">
        <v>17</v>
      </c>
      <c r="G99">
        <v>85</v>
      </c>
      <c r="H99">
        <v>145</v>
      </c>
      <c r="I99" s="5">
        <v>459421</v>
      </c>
      <c r="J99">
        <v>1.705882352941176</v>
      </c>
      <c r="K99">
        <v>108</v>
      </c>
      <c r="L99" s="3">
        <v>0.78703703703703709</v>
      </c>
      <c r="M99" s="5">
        <v>39050785</v>
      </c>
      <c r="N99" s="5">
        <v>40000000</v>
      </c>
    </row>
    <row r="100" spans="1:14" x14ac:dyDescent="0.45">
      <c r="A100" s="33">
        <v>45400</v>
      </c>
      <c r="B100">
        <v>18</v>
      </c>
      <c r="C100" t="s">
        <v>24</v>
      </c>
      <c r="D100">
        <v>2024</v>
      </c>
      <c r="E100">
        <v>16</v>
      </c>
      <c r="F100" t="s">
        <v>18</v>
      </c>
      <c r="G100">
        <v>130</v>
      </c>
      <c r="H100">
        <v>251</v>
      </c>
      <c r="I100" s="5">
        <v>512288.19615384622</v>
      </c>
      <c r="J100">
        <v>1.930769230769231</v>
      </c>
      <c r="K100">
        <v>192</v>
      </c>
      <c r="L100" s="3">
        <v>0.67708333333333337</v>
      </c>
      <c r="M100" s="5">
        <v>66597465.5</v>
      </c>
      <c r="N100" s="5">
        <v>40000000</v>
      </c>
    </row>
    <row r="101" spans="1:14" x14ac:dyDescent="0.45">
      <c r="A101" s="33">
        <v>45401</v>
      </c>
      <c r="B101">
        <v>19</v>
      </c>
      <c r="C101" t="s">
        <v>24</v>
      </c>
      <c r="D101">
        <v>2024</v>
      </c>
      <c r="E101">
        <v>16</v>
      </c>
      <c r="F101" t="s">
        <v>19</v>
      </c>
      <c r="G101">
        <v>105</v>
      </c>
      <c r="H101">
        <v>188</v>
      </c>
      <c r="I101" s="5">
        <v>447947.6</v>
      </c>
      <c r="J101">
        <v>1.790476190476191</v>
      </c>
      <c r="K101">
        <v>144</v>
      </c>
      <c r="L101" s="3">
        <v>0.72916666666666663</v>
      </c>
      <c r="M101" s="5">
        <v>47034498</v>
      </c>
      <c r="N101" s="5">
        <v>45000000</v>
      </c>
    </row>
    <row r="102" spans="1:14" x14ac:dyDescent="0.45">
      <c r="A102" s="33">
        <v>45402</v>
      </c>
      <c r="B102">
        <v>20</v>
      </c>
      <c r="C102" t="s">
        <v>24</v>
      </c>
      <c r="D102">
        <v>2024</v>
      </c>
      <c r="E102">
        <v>16</v>
      </c>
      <c r="F102" t="s">
        <v>20</v>
      </c>
      <c r="G102">
        <v>65</v>
      </c>
      <c r="H102">
        <v>114</v>
      </c>
      <c r="I102" s="5">
        <v>511537.69230769231</v>
      </c>
      <c r="J102">
        <v>1.7538461538461541</v>
      </c>
      <c r="K102">
        <v>114</v>
      </c>
      <c r="L102" s="3">
        <v>0.57017543859649122</v>
      </c>
      <c r="M102" s="5">
        <v>33249950</v>
      </c>
      <c r="N102" s="5">
        <v>55000000</v>
      </c>
    </row>
    <row r="103" spans="1:14" x14ac:dyDescent="0.45">
      <c r="A103" s="33">
        <v>45403</v>
      </c>
      <c r="B103">
        <v>21</v>
      </c>
      <c r="C103" t="s">
        <v>24</v>
      </c>
      <c r="D103">
        <v>2024</v>
      </c>
      <c r="E103">
        <v>16</v>
      </c>
      <c r="F103" t="s">
        <v>21</v>
      </c>
      <c r="G103">
        <v>73</v>
      </c>
      <c r="H103">
        <v>148</v>
      </c>
      <c r="I103" s="5">
        <v>557596.57534246577</v>
      </c>
      <c r="J103">
        <v>2.0273972602739732</v>
      </c>
      <c r="K103">
        <v>122</v>
      </c>
      <c r="L103" s="3">
        <v>0.59836065573770492</v>
      </c>
      <c r="M103" s="5">
        <v>40704550</v>
      </c>
      <c r="N103" s="5">
        <v>50000000</v>
      </c>
    </row>
    <row r="104" spans="1:14" x14ac:dyDescent="0.45">
      <c r="A104" s="33">
        <v>45404</v>
      </c>
      <c r="B104">
        <v>22</v>
      </c>
      <c r="C104" t="s">
        <v>24</v>
      </c>
      <c r="D104">
        <v>2024</v>
      </c>
      <c r="E104">
        <v>17</v>
      </c>
      <c r="F104" t="s">
        <v>15</v>
      </c>
      <c r="G104">
        <v>42</v>
      </c>
      <c r="H104">
        <v>61</v>
      </c>
      <c r="I104" s="5">
        <v>473694.04761904757</v>
      </c>
      <c r="J104">
        <v>1.4523809523809521</v>
      </c>
      <c r="K104">
        <v>59</v>
      </c>
      <c r="L104" s="3">
        <v>0.71186440677966101</v>
      </c>
      <c r="M104" s="5">
        <v>19895150</v>
      </c>
      <c r="N104" s="5">
        <v>28000000</v>
      </c>
    </row>
    <row r="105" spans="1:14" x14ac:dyDescent="0.45">
      <c r="A105" s="33">
        <v>45405</v>
      </c>
      <c r="B105">
        <v>23</v>
      </c>
      <c r="C105" t="s">
        <v>24</v>
      </c>
      <c r="D105">
        <v>2024</v>
      </c>
      <c r="E105">
        <v>17</v>
      </c>
      <c r="F105" t="s">
        <v>16</v>
      </c>
      <c r="G105">
        <v>56</v>
      </c>
      <c r="H105">
        <v>123</v>
      </c>
      <c r="I105" s="5">
        <v>652824.10714285716</v>
      </c>
      <c r="J105">
        <v>2.1964285714285721</v>
      </c>
      <c r="K105">
        <v>85</v>
      </c>
      <c r="L105" s="3">
        <v>0.6588235294117647</v>
      </c>
      <c r="M105" s="5">
        <v>36558150</v>
      </c>
      <c r="N105" s="5">
        <v>28000000</v>
      </c>
    </row>
    <row r="106" spans="1:14" x14ac:dyDescent="0.45">
      <c r="A106" s="33">
        <v>45406</v>
      </c>
      <c r="B106">
        <v>24</v>
      </c>
      <c r="C106" t="s">
        <v>24</v>
      </c>
      <c r="D106">
        <v>2024</v>
      </c>
      <c r="E106">
        <v>17</v>
      </c>
      <c r="F106" t="s">
        <v>17</v>
      </c>
      <c r="G106">
        <v>51</v>
      </c>
      <c r="H106">
        <v>92</v>
      </c>
      <c r="I106" s="5">
        <v>555174.50980392157</v>
      </c>
      <c r="J106">
        <v>1.803921568627451</v>
      </c>
      <c r="K106">
        <v>81</v>
      </c>
      <c r="L106" s="3">
        <v>0.62962962962962965</v>
      </c>
      <c r="M106" s="5">
        <v>28313900</v>
      </c>
      <c r="N106" s="5">
        <v>35000000</v>
      </c>
    </row>
    <row r="107" spans="1:14" x14ac:dyDescent="0.45">
      <c r="A107" s="33">
        <v>45407</v>
      </c>
      <c r="B107">
        <v>25</v>
      </c>
      <c r="C107" t="s">
        <v>24</v>
      </c>
      <c r="D107">
        <v>2024</v>
      </c>
      <c r="E107">
        <v>17</v>
      </c>
      <c r="F107" t="s">
        <v>18</v>
      </c>
      <c r="G107">
        <v>66</v>
      </c>
      <c r="H107">
        <v>132</v>
      </c>
      <c r="I107" s="5">
        <v>590920.40909090906</v>
      </c>
      <c r="J107">
        <v>2</v>
      </c>
      <c r="K107">
        <v>95</v>
      </c>
      <c r="L107" s="3">
        <v>0.69473684210526321</v>
      </c>
      <c r="M107" s="5">
        <v>39000747</v>
      </c>
      <c r="N107" s="5">
        <v>35000000</v>
      </c>
    </row>
    <row r="108" spans="1:14" x14ac:dyDescent="0.45">
      <c r="A108" s="33">
        <v>45408</v>
      </c>
      <c r="B108">
        <v>26</v>
      </c>
      <c r="C108" t="s">
        <v>24</v>
      </c>
      <c r="D108">
        <v>2024</v>
      </c>
      <c r="E108">
        <v>17</v>
      </c>
      <c r="F108" t="s">
        <v>19</v>
      </c>
      <c r="G108">
        <v>59</v>
      </c>
      <c r="H108">
        <v>92</v>
      </c>
      <c r="I108" s="5">
        <v>494997.45762711862</v>
      </c>
      <c r="J108">
        <v>1.5593220338983049</v>
      </c>
      <c r="K108">
        <v>110</v>
      </c>
      <c r="L108" s="3">
        <v>0.53636363636363638</v>
      </c>
      <c r="M108" s="5">
        <v>29204850</v>
      </c>
      <c r="N108" s="5">
        <v>35000000</v>
      </c>
    </row>
    <row r="109" spans="1:14" x14ac:dyDescent="0.45">
      <c r="A109" s="33">
        <v>45409</v>
      </c>
      <c r="B109">
        <v>27</v>
      </c>
      <c r="C109" t="s">
        <v>24</v>
      </c>
      <c r="D109">
        <v>2024</v>
      </c>
      <c r="E109">
        <v>17</v>
      </c>
      <c r="F109" t="s">
        <v>20</v>
      </c>
      <c r="G109">
        <v>50</v>
      </c>
      <c r="H109">
        <v>94</v>
      </c>
      <c r="I109" s="5">
        <v>559128</v>
      </c>
      <c r="J109">
        <v>1.88</v>
      </c>
      <c r="K109">
        <v>101</v>
      </c>
      <c r="L109" s="3">
        <v>0.49504950495049499</v>
      </c>
      <c r="M109" s="5">
        <v>27956400</v>
      </c>
      <c r="N109" s="5">
        <v>45000000</v>
      </c>
    </row>
    <row r="110" spans="1:14" x14ac:dyDescent="0.45">
      <c r="A110" s="33">
        <v>45410</v>
      </c>
      <c r="B110">
        <v>28</v>
      </c>
      <c r="C110" t="s">
        <v>24</v>
      </c>
      <c r="D110">
        <v>2024</v>
      </c>
      <c r="E110">
        <v>17</v>
      </c>
      <c r="F110" t="s">
        <v>21</v>
      </c>
      <c r="G110">
        <v>36</v>
      </c>
      <c r="H110">
        <v>60</v>
      </c>
      <c r="I110" s="5">
        <v>513855.55555555562</v>
      </c>
      <c r="J110">
        <v>1.666666666666667</v>
      </c>
      <c r="K110">
        <v>66</v>
      </c>
      <c r="L110" s="3">
        <v>0.54545454545454541</v>
      </c>
      <c r="M110" s="5">
        <v>18498800</v>
      </c>
      <c r="N110" s="5">
        <v>40000000</v>
      </c>
    </row>
    <row r="111" spans="1:14" x14ac:dyDescent="0.45">
      <c r="A111" s="33">
        <v>45411</v>
      </c>
      <c r="B111">
        <v>29</v>
      </c>
      <c r="C111" t="s">
        <v>24</v>
      </c>
      <c r="D111">
        <v>2024</v>
      </c>
      <c r="E111">
        <v>18</v>
      </c>
      <c r="F111" t="s">
        <v>15</v>
      </c>
      <c r="G111">
        <v>36</v>
      </c>
      <c r="H111">
        <v>74</v>
      </c>
      <c r="I111" s="5">
        <v>605664.72222222225</v>
      </c>
      <c r="J111">
        <v>2.0555555555555549</v>
      </c>
      <c r="K111">
        <v>52</v>
      </c>
      <c r="L111" s="3">
        <v>0.69230769230769229</v>
      </c>
      <c r="M111" s="5">
        <v>21803930</v>
      </c>
      <c r="N111" s="5">
        <v>25000000</v>
      </c>
    </row>
    <row r="112" spans="1:14" x14ac:dyDescent="0.45">
      <c r="A112" s="33">
        <v>45412</v>
      </c>
      <c r="B112">
        <v>30</v>
      </c>
      <c r="C112" t="s">
        <v>24</v>
      </c>
      <c r="D112">
        <v>2024</v>
      </c>
      <c r="E112">
        <v>18</v>
      </c>
      <c r="F112" t="s">
        <v>16</v>
      </c>
      <c r="G112">
        <v>36</v>
      </c>
      <c r="H112">
        <v>69</v>
      </c>
      <c r="I112" s="5">
        <v>624237.5</v>
      </c>
      <c r="J112">
        <v>1.916666666666667</v>
      </c>
      <c r="K112">
        <v>52</v>
      </c>
      <c r="L112" s="3">
        <v>0.69230769230769229</v>
      </c>
      <c r="M112" s="5">
        <v>22472550</v>
      </c>
      <c r="N112" s="5">
        <v>28000000</v>
      </c>
    </row>
    <row r="113" spans="1:14" x14ac:dyDescent="0.45">
      <c r="A113" s="33">
        <v>45413</v>
      </c>
      <c r="B113">
        <v>1</v>
      </c>
      <c r="C113" t="s">
        <v>25</v>
      </c>
      <c r="D113">
        <v>2024</v>
      </c>
      <c r="E113">
        <v>18</v>
      </c>
      <c r="F113" t="s">
        <v>17</v>
      </c>
      <c r="G113">
        <v>40</v>
      </c>
      <c r="H113">
        <v>78</v>
      </c>
      <c r="I113" s="5">
        <v>606812.5</v>
      </c>
      <c r="J113">
        <v>1.95</v>
      </c>
      <c r="K113">
        <v>54</v>
      </c>
      <c r="L113" s="3">
        <v>0.7407407407407407</v>
      </c>
      <c r="M113" s="5">
        <v>24272500</v>
      </c>
      <c r="N113" s="5">
        <v>30000000</v>
      </c>
    </row>
    <row r="114" spans="1:14" x14ac:dyDescent="0.45">
      <c r="A114" s="33">
        <v>45414</v>
      </c>
      <c r="B114">
        <v>2</v>
      </c>
      <c r="C114" t="s">
        <v>25</v>
      </c>
      <c r="D114">
        <v>2024</v>
      </c>
      <c r="E114">
        <v>18</v>
      </c>
      <c r="F114" t="s">
        <v>18</v>
      </c>
      <c r="G114">
        <v>41</v>
      </c>
      <c r="H114">
        <v>84</v>
      </c>
      <c r="I114" s="5">
        <v>645108.78048780491</v>
      </c>
      <c r="J114">
        <v>2.0487804878048781</v>
      </c>
      <c r="K114">
        <v>65</v>
      </c>
      <c r="L114" s="3">
        <v>0.63076923076923075</v>
      </c>
      <c r="M114" s="5">
        <v>26449460</v>
      </c>
      <c r="N114" s="5">
        <v>30000000</v>
      </c>
    </row>
    <row r="115" spans="1:14" x14ac:dyDescent="0.45">
      <c r="A115" s="33">
        <v>45415</v>
      </c>
      <c r="B115">
        <v>3</v>
      </c>
      <c r="C115" t="s">
        <v>25</v>
      </c>
      <c r="D115">
        <v>2024</v>
      </c>
      <c r="E115">
        <v>18</v>
      </c>
      <c r="F115" t="s">
        <v>19</v>
      </c>
      <c r="G115">
        <v>43</v>
      </c>
      <c r="H115">
        <v>64</v>
      </c>
      <c r="I115" s="5">
        <v>440679.06976744178</v>
      </c>
      <c r="J115">
        <v>1.488372093023256</v>
      </c>
      <c r="K115">
        <v>60</v>
      </c>
      <c r="L115" s="3">
        <v>0.71666666666666667</v>
      </c>
      <c r="M115" s="5">
        <v>18949200</v>
      </c>
      <c r="N115" s="5">
        <v>35000000</v>
      </c>
    </row>
    <row r="116" spans="1:14" x14ac:dyDescent="0.45">
      <c r="A116" s="33">
        <v>45416</v>
      </c>
      <c r="B116">
        <v>4</v>
      </c>
      <c r="C116" t="s">
        <v>25</v>
      </c>
      <c r="D116">
        <v>2024</v>
      </c>
      <c r="E116">
        <v>18</v>
      </c>
      <c r="F116" t="s">
        <v>20</v>
      </c>
      <c r="G116">
        <v>58</v>
      </c>
      <c r="H116">
        <v>136</v>
      </c>
      <c r="I116" s="5">
        <v>665967.24137931038</v>
      </c>
      <c r="J116">
        <v>2.3448275862068959</v>
      </c>
      <c r="K116">
        <v>84</v>
      </c>
      <c r="L116" s="3">
        <v>0.69047619047619047</v>
      </c>
      <c r="M116" s="5">
        <v>38626100</v>
      </c>
      <c r="N116" s="5">
        <v>45000000</v>
      </c>
    </row>
    <row r="117" spans="1:14" x14ac:dyDescent="0.45">
      <c r="A117" s="33">
        <v>45417</v>
      </c>
      <c r="B117">
        <v>5</v>
      </c>
      <c r="C117" t="s">
        <v>25</v>
      </c>
      <c r="D117">
        <v>2024</v>
      </c>
      <c r="E117">
        <v>18</v>
      </c>
      <c r="F117" t="s">
        <v>21</v>
      </c>
      <c r="G117">
        <v>79</v>
      </c>
      <c r="H117">
        <v>149</v>
      </c>
      <c r="I117" s="5">
        <v>571957.70886075951</v>
      </c>
      <c r="J117">
        <v>1.8860759493670891</v>
      </c>
      <c r="K117">
        <v>118</v>
      </c>
      <c r="L117" s="3">
        <v>0.66949152542372881</v>
      </c>
      <c r="M117" s="5">
        <v>45184659</v>
      </c>
      <c r="N117" s="5">
        <v>40000000</v>
      </c>
    </row>
    <row r="118" spans="1:14" x14ac:dyDescent="0.45">
      <c r="A118" s="33">
        <v>45418</v>
      </c>
      <c r="B118">
        <v>6</v>
      </c>
      <c r="C118" t="s">
        <v>25</v>
      </c>
      <c r="D118">
        <v>2024</v>
      </c>
      <c r="E118">
        <v>19</v>
      </c>
      <c r="F118" t="s">
        <v>15</v>
      </c>
      <c r="G118">
        <v>32</v>
      </c>
      <c r="H118">
        <v>75</v>
      </c>
      <c r="I118" s="5">
        <v>655988.09375</v>
      </c>
      <c r="J118">
        <v>2.34375</v>
      </c>
      <c r="K118">
        <v>48</v>
      </c>
      <c r="L118" s="3">
        <v>0.66666666666666663</v>
      </c>
      <c r="M118" s="5">
        <v>20991619</v>
      </c>
      <c r="N118" s="5">
        <v>28000000</v>
      </c>
    </row>
    <row r="119" spans="1:14" x14ac:dyDescent="0.45">
      <c r="A119" s="33">
        <v>45419</v>
      </c>
      <c r="B119">
        <v>7</v>
      </c>
      <c r="C119" t="s">
        <v>25</v>
      </c>
      <c r="D119">
        <v>2024</v>
      </c>
      <c r="E119">
        <v>19</v>
      </c>
      <c r="F119" t="s">
        <v>16</v>
      </c>
      <c r="G119">
        <v>36</v>
      </c>
      <c r="H119">
        <v>54</v>
      </c>
      <c r="I119" s="5">
        <v>470505.55555555562</v>
      </c>
      <c r="J119">
        <v>1.5</v>
      </c>
      <c r="K119">
        <v>43</v>
      </c>
      <c r="L119" s="3">
        <v>0.83720930232558144</v>
      </c>
      <c r="M119" s="5">
        <v>16938200</v>
      </c>
      <c r="N119" s="5">
        <v>28000000</v>
      </c>
    </row>
    <row r="120" spans="1:14" x14ac:dyDescent="0.45">
      <c r="A120" s="33">
        <v>45420</v>
      </c>
      <c r="B120">
        <v>8</v>
      </c>
      <c r="C120" t="s">
        <v>25</v>
      </c>
      <c r="D120">
        <v>2024</v>
      </c>
      <c r="E120">
        <v>19</v>
      </c>
      <c r="F120" t="s">
        <v>17</v>
      </c>
      <c r="G120">
        <v>49</v>
      </c>
      <c r="H120">
        <v>109</v>
      </c>
      <c r="I120" s="5">
        <v>643379.59183673467</v>
      </c>
      <c r="J120">
        <v>2.2244897959183669</v>
      </c>
      <c r="K120">
        <v>67</v>
      </c>
      <c r="L120" s="3">
        <v>0.73134328358208955</v>
      </c>
      <c r="M120" s="5">
        <v>31525600</v>
      </c>
      <c r="N120" s="5">
        <v>34000000</v>
      </c>
    </row>
    <row r="121" spans="1:14" x14ac:dyDescent="0.45">
      <c r="A121" s="33">
        <v>45421</v>
      </c>
      <c r="B121">
        <v>9</v>
      </c>
      <c r="C121" t="s">
        <v>25</v>
      </c>
      <c r="D121">
        <v>2024</v>
      </c>
      <c r="E121">
        <v>19</v>
      </c>
      <c r="F121" t="s">
        <v>18</v>
      </c>
      <c r="G121">
        <v>64</v>
      </c>
      <c r="H121">
        <v>113</v>
      </c>
      <c r="I121" s="5">
        <v>552936.328125</v>
      </c>
      <c r="J121">
        <v>1.765625</v>
      </c>
      <c r="K121">
        <v>91</v>
      </c>
      <c r="L121" s="3">
        <v>0.70329670329670335</v>
      </c>
      <c r="M121" s="5">
        <v>35387925</v>
      </c>
      <c r="N121" s="5">
        <v>34000000</v>
      </c>
    </row>
    <row r="122" spans="1:14" x14ac:dyDescent="0.45">
      <c r="A122" s="33">
        <v>45422</v>
      </c>
      <c r="B122">
        <v>10</v>
      </c>
      <c r="C122" t="s">
        <v>25</v>
      </c>
      <c r="D122">
        <v>2024</v>
      </c>
      <c r="E122">
        <v>19</v>
      </c>
      <c r="F122" t="s">
        <v>19</v>
      </c>
      <c r="G122">
        <v>72</v>
      </c>
      <c r="H122">
        <v>103</v>
      </c>
      <c r="I122" s="5">
        <v>448213.19444444438</v>
      </c>
      <c r="J122">
        <v>1.430555555555556</v>
      </c>
      <c r="K122">
        <v>93</v>
      </c>
      <c r="L122" s="3">
        <v>0.77419354838709675</v>
      </c>
      <c r="M122" s="5">
        <v>32271350</v>
      </c>
      <c r="N122" s="5">
        <v>37000000</v>
      </c>
    </row>
    <row r="123" spans="1:14" x14ac:dyDescent="0.45">
      <c r="A123" s="33">
        <v>45423</v>
      </c>
      <c r="B123">
        <v>11</v>
      </c>
      <c r="C123" t="s">
        <v>25</v>
      </c>
      <c r="D123">
        <v>2024</v>
      </c>
      <c r="E123">
        <v>19</v>
      </c>
      <c r="F123" t="s">
        <v>20</v>
      </c>
      <c r="G123">
        <v>92</v>
      </c>
      <c r="H123">
        <v>164</v>
      </c>
      <c r="I123" s="5">
        <v>503856.95652173908</v>
      </c>
      <c r="J123">
        <v>1.7826086956521741</v>
      </c>
      <c r="K123">
        <v>127</v>
      </c>
      <c r="L123" s="3">
        <v>0.72440944881889768</v>
      </c>
      <c r="M123" s="5">
        <v>46354840</v>
      </c>
      <c r="N123" s="5">
        <v>45000000</v>
      </c>
    </row>
    <row r="124" spans="1:14" x14ac:dyDescent="0.45">
      <c r="A124" s="33">
        <v>45424</v>
      </c>
      <c r="B124">
        <v>12</v>
      </c>
      <c r="C124" t="s">
        <v>25</v>
      </c>
      <c r="D124">
        <v>2024</v>
      </c>
      <c r="E124">
        <v>19</v>
      </c>
      <c r="F124" t="s">
        <v>21</v>
      </c>
      <c r="G124">
        <v>73</v>
      </c>
      <c r="H124">
        <v>118</v>
      </c>
      <c r="I124" s="5">
        <v>520800.68493150693</v>
      </c>
      <c r="J124">
        <v>1.616438356164384</v>
      </c>
      <c r="K124">
        <v>103</v>
      </c>
      <c r="L124" s="3">
        <v>0.70873786407766992</v>
      </c>
      <c r="M124" s="5">
        <v>38018450</v>
      </c>
      <c r="N124" s="5">
        <v>45000000</v>
      </c>
    </row>
    <row r="125" spans="1:14" x14ac:dyDescent="0.45">
      <c r="A125" s="33">
        <v>45425</v>
      </c>
      <c r="B125">
        <v>13</v>
      </c>
      <c r="C125" t="s">
        <v>25</v>
      </c>
      <c r="D125">
        <v>2024</v>
      </c>
      <c r="E125">
        <v>20</v>
      </c>
      <c r="F125" t="s">
        <v>15</v>
      </c>
      <c r="G125">
        <v>38</v>
      </c>
      <c r="H125">
        <v>89</v>
      </c>
      <c r="I125" s="5">
        <v>783220.92105263157</v>
      </c>
      <c r="J125">
        <v>2.3421052631578951</v>
      </c>
      <c r="K125">
        <v>58</v>
      </c>
      <c r="L125" s="3">
        <v>0.65517241379310343</v>
      </c>
      <c r="M125" s="5">
        <v>29762395</v>
      </c>
      <c r="N125" s="5">
        <v>28000000</v>
      </c>
    </row>
    <row r="126" spans="1:14" x14ac:dyDescent="0.45">
      <c r="A126" s="33">
        <v>45426</v>
      </c>
      <c r="B126">
        <v>14</v>
      </c>
      <c r="C126" t="s">
        <v>25</v>
      </c>
      <c r="D126">
        <v>2024</v>
      </c>
      <c r="E126">
        <v>20</v>
      </c>
      <c r="F126" t="s">
        <v>16</v>
      </c>
      <c r="G126">
        <v>49</v>
      </c>
      <c r="H126">
        <v>86</v>
      </c>
      <c r="I126" s="5">
        <v>556255.89795918367</v>
      </c>
      <c r="J126">
        <v>1.755102040816326</v>
      </c>
      <c r="K126">
        <v>69</v>
      </c>
      <c r="L126" s="3">
        <v>0.71014492753623193</v>
      </c>
      <c r="M126" s="5">
        <v>27256539</v>
      </c>
      <c r="N126" s="5">
        <v>28000000</v>
      </c>
    </row>
    <row r="127" spans="1:14" x14ac:dyDescent="0.45">
      <c r="A127" s="33">
        <v>45427</v>
      </c>
      <c r="B127">
        <v>15</v>
      </c>
      <c r="C127" t="s">
        <v>25</v>
      </c>
      <c r="D127">
        <v>2024</v>
      </c>
      <c r="E127">
        <v>20</v>
      </c>
      <c r="F127" t="s">
        <v>17</v>
      </c>
      <c r="G127">
        <v>28</v>
      </c>
      <c r="H127">
        <v>49</v>
      </c>
      <c r="I127" s="5">
        <v>489601.78571428568</v>
      </c>
      <c r="J127">
        <v>1.75</v>
      </c>
      <c r="K127">
        <v>35</v>
      </c>
      <c r="L127" s="3">
        <v>0.8</v>
      </c>
      <c r="M127" s="5">
        <v>13708850</v>
      </c>
      <c r="N127" s="5">
        <v>34000000</v>
      </c>
    </row>
    <row r="128" spans="1:14" x14ac:dyDescent="0.45">
      <c r="A128" s="33">
        <v>45428</v>
      </c>
      <c r="B128">
        <v>16</v>
      </c>
      <c r="C128" t="s">
        <v>25</v>
      </c>
      <c r="D128">
        <v>2024</v>
      </c>
      <c r="E128">
        <v>20</v>
      </c>
      <c r="F128" t="s">
        <v>18</v>
      </c>
      <c r="G128">
        <v>103</v>
      </c>
      <c r="H128">
        <v>184</v>
      </c>
      <c r="I128" s="5">
        <v>501944.56310679612</v>
      </c>
      <c r="J128">
        <v>1.7864077669902909</v>
      </c>
      <c r="K128">
        <v>156</v>
      </c>
      <c r="L128" s="3">
        <v>0.66025641025641024</v>
      </c>
      <c r="M128" s="5">
        <v>51700290</v>
      </c>
      <c r="N128" s="5">
        <v>34000000</v>
      </c>
    </row>
    <row r="129" spans="1:14" x14ac:dyDescent="0.45">
      <c r="A129" s="33">
        <v>45429</v>
      </c>
      <c r="B129">
        <v>17</v>
      </c>
      <c r="C129" t="s">
        <v>25</v>
      </c>
      <c r="D129">
        <v>2024</v>
      </c>
      <c r="E129">
        <v>20</v>
      </c>
      <c r="F129" t="s">
        <v>19</v>
      </c>
      <c r="G129">
        <v>108</v>
      </c>
      <c r="H129">
        <v>217</v>
      </c>
      <c r="I129" s="5">
        <v>547900</v>
      </c>
      <c r="J129">
        <v>2.0092592592592591</v>
      </c>
      <c r="K129">
        <v>152</v>
      </c>
      <c r="L129" s="3">
        <v>0.71052631578947367</v>
      </c>
      <c r="M129" s="5">
        <v>59173200</v>
      </c>
      <c r="N129" s="5">
        <v>37000000</v>
      </c>
    </row>
    <row r="130" spans="1:14" x14ac:dyDescent="0.45">
      <c r="A130" s="33">
        <v>45430</v>
      </c>
      <c r="B130">
        <v>18</v>
      </c>
      <c r="C130" t="s">
        <v>25</v>
      </c>
      <c r="D130">
        <v>2024</v>
      </c>
      <c r="E130">
        <v>20</v>
      </c>
      <c r="F130" t="s">
        <v>20</v>
      </c>
      <c r="G130">
        <v>105</v>
      </c>
      <c r="H130">
        <v>195</v>
      </c>
      <c r="I130" s="5">
        <v>512594.76190476189</v>
      </c>
      <c r="J130">
        <v>1.857142857142857</v>
      </c>
      <c r="K130">
        <v>145</v>
      </c>
      <c r="L130" s="3">
        <v>0.72413793103448276</v>
      </c>
      <c r="M130" s="5">
        <v>53822450</v>
      </c>
      <c r="N130" s="5">
        <v>45000000</v>
      </c>
    </row>
    <row r="131" spans="1:14" x14ac:dyDescent="0.45">
      <c r="A131" s="33">
        <v>45431</v>
      </c>
      <c r="B131">
        <v>19</v>
      </c>
      <c r="C131" t="s">
        <v>25</v>
      </c>
      <c r="D131">
        <v>2024</v>
      </c>
      <c r="E131">
        <v>20</v>
      </c>
      <c r="F131" t="s">
        <v>21</v>
      </c>
      <c r="G131">
        <v>113</v>
      </c>
      <c r="H131">
        <v>185</v>
      </c>
      <c r="I131" s="5">
        <v>479977.4336283186</v>
      </c>
      <c r="J131">
        <v>1.63716814159292</v>
      </c>
      <c r="K131">
        <v>153</v>
      </c>
      <c r="L131" s="3">
        <v>0.73856209150326801</v>
      </c>
      <c r="M131" s="5">
        <v>54237450</v>
      </c>
      <c r="N131" s="5">
        <v>40000000</v>
      </c>
    </row>
    <row r="132" spans="1:14" x14ac:dyDescent="0.45">
      <c r="A132" s="33">
        <v>45432</v>
      </c>
      <c r="B132">
        <v>20</v>
      </c>
      <c r="C132" t="s">
        <v>25</v>
      </c>
      <c r="D132">
        <v>2024</v>
      </c>
      <c r="E132">
        <v>21</v>
      </c>
      <c r="F132" t="s">
        <v>15</v>
      </c>
      <c r="G132">
        <v>45</v>
      </c>
      <c r="H132">
        <v>94</v>
      </c>
      <c r="I132" s="5">
        <v>617880.47777777782</v>
      </c>
      <c r="J132">
        <v>2.088888888888889</v>
      </c>
      <c r="K132">
        <v>72</v>
      </c>
      <c r="L132" s="3">
        <v>0.625</v>
      </c>
      <c r="M132" s="5">
        <v>27804621.5</v>
      </c>
      <c r="N132" s="5">
        <v>28000000</v>
      </c>
    </row>
    <row r="133" spans="1:14" x14ac:dyDescent="0.45">
      <c r="A133" s="33">
        <v>45433</v>
      </c>
      <c r="B133">
        <v>21</v>
      </c>
      <c r="C133" t="s">
        <v>25</v>
      </c>
      <c r="D133">
        <v>2024</v>
      </c>
      <c r="E133">
        <v>21</v>
      </c>
      <c r="F133" t="s">
        <v>16</v>
      </c>
      <c r="G133">
        <v>38</v>
      </c>
      <c r="H133">
        <v>64</v>
      </c>
      <c r="I133" s="5">
        <v>530976.31578947371</v>
      </c>
      <c r="J133">
        <v>1.6842105263157889</v>
      </c>
      <c r="K133">
        <v>58</v>
      </c>
      <c r="L133" s="3">
        <v>0.65517241379310343</v>
      </c>
      <c r="M133" s="5">
        <v>20177100</v>
      </c>
      <c r="N133" s="5">
        <v>28000000</v>
      </c>
    </row>
    <row r="134" spans="1:14" x14ac:dyDescent="0.45">
      <c r="A134" s="33">
        <v>45434</v>
      </c>
      <c r="B134">
        <v>22</v>
      </c>
      <c r="C134" t="s">
        <v>25</v>
      </c>
      <c r="D134">
        <v>2024</v>
      </c>
      <c r="E134">
        <v>21</v>
      </c>
      <c r="F134" t="s">
        <v>17</v>
      </c>
      <c r="G134">
        <v>75</v>
      </c>
      <c r="H134">
        <v>120</v>
      </c>
      <c r="I134" s="5">
        <v>530286</v>
      </c>
      <c r="J134">
        <v>1.6</v>
      </c>
      <c r="K134">
        <v>98</v>
      </c>
      <c r="L134" s="3">
        <v>0.76530612244897955</v>
      </c>
      <c r="M134" s="5">
        <v>39771450</v>
      </c>
      <c r="N134" s="5">
        <v>34000000</v>
      </c>
    </row>
    <row r="135" spans="1:14" x14ac:dyDescent="0.45">
      <c r="A135" s="33">
        <v>45435</v>
      </c>
      <c r="B135">
        <v>23</v>
      </c>
      <c r="C135" t="s">
        <v>25</v>
      </c>
      <c r="D135">
        <v>2024</v>
      </c>
      <c r="E135">
        <v>21</v>
      </c>
      <c r="F135" t="s">
        <v>18</v>
      </c>
      <c r="G135">
        <v>74</v>
      </c>
      <c r="H135">
        <v>148</v>
      </c>
      <c r="I135" s="5">
        <v>598390.2702702703</v>
      </c>
      <c r="J135">
        <v>2</v>
      </c>
      <c r="K135">
        <v>105</v>
      </c>
      <c r="L135" s="3">
        <v>0.70476190476190481</v>
      </c>
      <c r="M135" s="5">
        <v>44280880</v>
      </c>
      <c r="N135" s="5">
        <v>34000000</v>
      </c>
    </row>
    <row r="136" spans="1:14" x14ac:dyDescent="0.45">
      <c r="A136" s="33">
        <v>45436</v>
      </c>
      <c r="B136">
        <v>24</v>
      </c>
      <c r="C136" t="s">
        <v>25</v>
      </c>
      <c r="D136">
        <v>2024</v>
      </c>
      <c r="E136">
        <v>21</v>
      </c>
      <c r="F136" t="s">
        <v>19</v>
      </c>
      <c r="G136">
        <v>83</v>
      </c>
      <c r="H136">
        <v>167</v>
      </c>
      <c r="I136" s="5">
        <v>633645.06024096382</v>
      </c>
      <c r="J136">
        <v>2.012048192771084</v>
      </c>
      <c r="K136">
        <v>123</v>
      </c>
      <c r="L136" s="3">
        <v>0.67479674796747968</v>
      </c>
      <c r="M136" s="5">
        <v>52592540</v>
      </c>
      <c r="N136" s="5">
        <v>35000000</v>
      </c>
    </row>
    <row r="137" spans="1:14" x14ac:dyDescent="0.45">
      <c r="A137" s="33">
        <v>45437</v>
      </c>
      <c r="B137">
        <v>25</v>
      </c>
      <c r="C137" t="s">
        <v>25</v>
      </c>
      <c r="D137">
        <v>2024</v>
      </c>
      <c r="E137">
        <v>21</v>
      </c>
      <c r="F137" t="s">
        <v>20</v>
      </c>
      <c r="G137">
        <v>93</v>
      </c>
      <c r="H137">
        <v>163</v>
      </c>
      <c r="I137" s="5">
        <v>545201.61290322582</v>
      </c>
      <c r="J137">
        <v>1.752688172043011</v>
      </c>
      <c r="K137">
        <v>128</v>
      </c>
      <c r="L137" s="3">
        <v>0.7265625</v>
      </c>
      <c r="M137" s="5">
        <v>50703750</v>
      </c>
      <c r="N137" s="5">
        <v>45000000</v>
      </c>
    </row>
    <row r="138" spans="1:14" x14ac:dyDescent="0.45">
      <c r="A138" s="33">
        <v>45438</v>
      </c>
      <c r="B138">
        <v>26</v>
      </c>
      <c r="C138" t="s">
        <v>25</v>
      </c>
      <c r="D138">
        <v>2024</v>
      </c>
      <c r="E138">
        <v>21</v>
      </c>
      <c r="F138" t="s">
        <v>21</v>
      </c>
      <c r="G138">
        <v>75</v>
      </c>
      <c r="H138">
        <v>138</v>
      </c>
      <c r="I138" s="5">
        <v>578812.8666666667</v>
      </c>
      <c r="J138">
        <v>1.84</v>
      </c>
      <c r="K138">
        <v>122</v>
      </c>
      <c r="L138" s="3">
        <v>0.61475409836065575</v>
      </c>
      <c r="M138" s="5">
        <v>43410965</v>
      </c>
      <c r="N138" s="5">
        <v>40000000</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021CD-AE20-4397-BBB7-2B07C598843D}">
  <dimension ref="A1:R59"/>
  <sheetViews>
    <sheetView topLeftCell="A5" zoomScale="73" workbookViewId="0">
      <selection activeCell="L28" sqref="L28"/>
    </sheetView>
  </sheetViews>
  <sheetFormatPr defaultRowHeight="14.25" x14ac:dyDescent="0.45"/>
  <cols>
    <col min="1" max="1" width="12.06640625" bestFit="1" customWidth="1"/>
    <col min="2" max="2" width="15.19921875" bestFit="1" customWidth="1"/>
    <col min="3" max="3" width="15.06640625" bestFit="1" customWidth="1"/>
    <col min="4" max="4" width="13.19921875" bestFit="1" customWidth="1"/>
    <col min="5" max="5" width="13.265625" bestFit="1" customWidth="1"/>
    <col min="6" max="11" width="14.73046875" bestFit="1" customWidth="1"/>
    <col min="12" max="12" width="12.06640625" bestFit="1" customWidth="1"/>
    <col min="13" max="13" width="17.265625" bestFit="1" customWidth="1"/>
    <col min="14" max="14" width="23.46484375" bestFit="1" customWidth="1"/>
    <col min="15" max="15" width="12.06640625" bestFit="1" customWidth="1"/>
    <col min="16" max="16" width="15.06640625" bestFit="1" customWidth="1"/>
    <col min="17" max="17" width="23.46484375" bestFit="1" customWidth="1"/>
    <col min="18" max="31" width="14.73046875" bestFit="1" customWidth="1"/>
    <col min="32" max="32" width="10.19921875" bestFit="1" customWidth="1"/>
    <col min="33" max="149" width="7.265625" bestFit="1" customWidth="1"/>
    <col min="150" max="150" width="10.19921875" bestFit="1" customWidth="1"/>
  </cols>
  <sheetData>
    <row r="1" spans="1:17" x14ac:dyDescent="0.45">
      <c r="L1" s="27" t="s">
        <v>26</v>
      </c>
      <c r="M1" t="s">
        <v>35</v>
      </c>
      <c r="N1" t="s">
        <v>31</v>
      </c>
      <c r="O1" s="27" t="s">
        <v>26</v>
      </c>
      <c r="P1" t="s">
        <v>34</v>
      </c>
      <c r="Q1" t="s">
        <v>31</v>
      </c>
    </row>
    <row r="2" spans="1:17" x14ac:dyDescent="0.45">
      <c r="L2" s="28" t="s">
        <v>15</v>
      </c>
      <c r="M2" s="5">
        <v>35078917.921031572</v>
      </c>
      <c r="N2" s="3">
        <v>0.63591502078624496</v>
      </c>
      <c r="O2" s="28" t="s">
        <v>15</v>
      </c>
      <c r="P2" s="30">
        <v>110.26315789473684</v>
      </c>
      <c r="Q2" s="3">
        <v>0.63591502078624496</v>
      </c>
    </row>
    <row r="3" spans="1:17" x14ac:dyDescent="0.45">
      <c r="A3" t="s">
        <v>28</v>
      </c>
      <c r="B3" t="s">
        <v>32</v>
      </c>
      <c r="C3" t="s">
        <v>31</v>
      </c>
      <c r="D3" t="s">
        <v>29</v>
      </c>
      <c r="E3" t="s">
        <v>30</v>
      </c>
      <c r="L3" s="28" t="s">
        <v>16</v>
      </c>
      <c r="M3" s="5">
        <v>38056343.499989472</v>
      </c>
      <c r="N3" s="3">
        <v>0.64863466402792169</v>
      </c>
      <c r="O3" s="28" t="s">
        <v>16</v>
      </c>
      <c r="P3" s="30">
        <v>115.68421052631579</v>
      </c>
      <c r="Q3" s="3">
        <v>0.64863466402792169</v>
      </c>
    </row>
    <row r="4" spans="1:17" x14ac:dyDescent="0.45">
      <c r="A4" s="5">
        <v>6204422597.9995995</v>
      </c>
      <c r="B4">
        <v>20127</v>
      </c>
      <c r="C4" s="3">
        <v>0.6310799819841314</v>
      </c>
      <c r="D4" s="5">
        <v>561174.24838506931</v>
      </c>
      <c r="E4" s="29">
        <v>1.8287758193720365</v>
      </c>
      <c r="L4" s="28" t="s">
        <v>17</v>
      </c>
      <c r="M4" s="5">
        <v>40302823.71052105</v>
      </c>
      <c r="N4" s="3">
        <v>0.6613098886279124</v>
      </c>
      <c r="O4" s="28" t="s">
        <v>17</v>
      </c>
      <c r="P4" s="30">
        <v>130</v>
      </c>
      <c r="Q4" s="3">
        <v>0.6613098886279124</v>
      </c>
    </row>
    <row r="5" spans="1:17" x14ac:dyDescent="0.45">
      <c r="L5" s="28" t="s">
        <v>18</v>
      </c>
      <c r="M5" s="5">
        <v>47507972.225024998</v>
      </c>
      <c r="N5" s="3">
        <v>0.61744643212630834</v>
      </c>
      <c r="O5" s="28" t="s">
        <v>18</v>
      </c>
      <c r="P5" s="30">
        <v>153.05000000000001</v>
      </c>
      <c r="Q5" s="3">
        <v>0.61744643212630834</v>
      </c>
    </row>
    <row r="6" spans="1:17" x14ac:dyDescent="0.45">
      <c r="A6" s="27" t="s">
        <v>26</v>
      </c>
      <c r="B6" t="s">
        <v>28</v>
      </c>
      <c r="C6" t="s">
        <v>33</v>
      </c>
      <c r="L6" s="28" t="s">
        <v>19</v>
      </c>
      <c r="M6" s="5">
        <v>45162796.77499</v>
      </c>
      <c r="N6" s="3">
        <v>0.64488300391189868</v>
      </c>
      <c r="O6" s="28" t="s">
        <v>19</v>
      </c>
      <c r="P6" s="30">
        <v>135.30000000000001</v>
      </c>
      <c r="Q6" s="3">
        <v>0.64488300391189868</v>
      </c>
    </row>
    <row r="7" spans="1:17" x14ac:dyDescent="0.45">
      <c r="A7" s="28" t="s">
        <v>14</v>
      </c>
      <c r="B7" s="35">
        <v>2234860636.5</v>
      </c>
      <c r="C7" s="35">
        <v>1513400000</v>
      </c>
      <c r="L7" s="28" t="s">
        <v>20</v>
      </c>
      <c r="M7" s="5">
        <v>55290059.475000001</v>
      </c>
      <c r="N7" s="3">
        <v>0.61466226845531258</v>
      </c>
      <c r="O7" s="28" t="s">
        <v>20</v>
      </c>
      <c r="P7" s="30">
        <v>174.9</v>
      </c>
      <c r="Q7" s="3">
        <v>0.61466226845531258</v>
      </c>
    </row>
    <row r="8" spans="1:17" x14ac:dyDescent="0.45">
      <c r="A8" s="28" t="s">
        <v>22</v>
      </c>
      <c r="B8" s="35">
        <v>870543740.5</v>
      </c>
      <c r="C8" s="35">
        <v>844000000</v>
      </c>
      <c r="L8" s="28" t="s">
        <v>21</v>
      </c>
      <c r="M8" s="5">
        <v>54494120.549999997</v>
      </c>
      <c r="N8" s="3">
        <v>0.59733957732780352</v>
      </c>
      <c r="O8" s="28" t="s">
        <v>21</v>
      </c>
      <c r="P8" s="30">
        <v>185.85</v>
      </c>
      <c r="Q8" s="3">
        <v>0.59733957732780352</v>
      </c>
    </row>
    <row r="9" spans="1:17" x14ac:dyDescent="0.45">
      <c r="A9" s="28" t="s">
        <v>23</v>
      </c>
      <c r="B9" s="35">
        <v>1107599299.9995999</v>
      </c>
      <c r="C9" s="35">
        <v>1025000000</v>
      </c>
      <c r="L9" s="28" t="s">
        <v>27</v>
      </c>
      <c r="M9" s="5">
        <v>45287756.189778097</v>
      </c>
      <c r="N9" s="3">
        <v>0.63107998198413118</v>
      </c>
      <c r="O9" s="28" t="s">
        <v>27</v>
      </c>
      <c r="P9">
        <v>144.12408759124088</v>
      </c>
      <c r="Q9" s="3">
        <v>0.63107998198413118</v>
      </c>
    </row>
    <row r="10" spans="1:17" x14ac:dyDescent="0.45">
      <c r="A10" s="28" t="s">
        <v>24</v>
      </c>
      <c r="B10" s="35">
        <v>1048046537.5</v>
      </c>
      <c r="C10" s="35">
        <v>1086000000</v>
      </c>
    </row>
    <row r="11" spans="1:17" x14ac:dyDescent="0.45">
      <c r="A11" s="28" t="s">
        <v>25</v>
      </c>
      <c r="B11" s="35">
        <v>943372383.5</v>
      </c>
      <c r="C11" s="35">
        <v>921000000</v>
      </c>
    </row>
    <row r="12" spans="1:17" x14ac:dyDescent="0.45">
      <c r="A12" s="28" t="s">
        <v>27</v>
      </c>
      <c r="B12" s="5">
        <v>6204422597.9995995</v>
      </c>
      <c r="C12" s="5">
        <v>5389400000</v>
      </c>
    </row>
    <row r="20" spans="1:18" x14ac:dyDescent="0.45">
      <c r="A20" s="27" t="s">
        <v>26</v>
      </c>
      <c r="B20" t="s">
        <v>31</v>
      </c>
      <c r="C20" t="s">
        <v>34</v>
      </c>
    </row>
    <row r="21" spans="1:18" x14ac:dyDescent="0.45">
      <c r="A21" s="28" t="s">
        <v>14</v>
      </c>
      <c r="B21" s="32">
        <v>0.46169382423193378</v>
      </c>
      <c r="C21" s="31">
        <v>316.96428571428572</v>
      </c>
    </row>
    <row r="22" spans="1:18" x14ac:dyDescent="0.45">
      <c r="A22" s="28" t="s">
        <v>22</v>
      </c>
      <c r="B22" s="32">
        <v>0.69598308950624321</v>
      </c>
      <c r="C22" s="31">
        <v>112.95454545454545</v>
      </c>
    </row>
    <row r="23" spans="1:18" x14ac:dyDescent="0.45">
      <c r="A23" s="28" t="s">
        <v>23</v>
      </c>
      <c r="B23" s="32">
        <v>0.67330301187922548</v>
      </c>
      <c r="C23" s="31">
        <v>93.032258064516128</v>
      </c>
    </row>
    <row r="24" spans="1:18" x14ac:dyDescent="0.45">
      <c r="A24" s="28" t="s">
        <v>24</v>
      </c>
      <c r="B24" s="32">
        <v>0.632911802248738</v>
      </c>
      <c r="C24" s="31">
        <v>102.46666666666667</v>
      </c>
    </row>
    <row r="25" spans="1:18" x14ac:dyDescent="0.45">
      <c r="A25" s="28" t="s">
        <v>25</v>
      </c>
      <c r="B25" s="32">
        <v>0.70612134801832138</v>
      </c>
      <c r="C25" s="31">
        <v>93.34615384615384</v>
      </c>
    </row>
    <row r="26" spans="1:18" x14ac:dyDescent="0.45">
      <c r="A26" s="28" t="s">
        <v>27</v>
      </c>
      <c r="B26" s="3">
        <v>0.6310799819841314</v>
      </c>
      <c r="C26">
        <v>144.12408759124088</v>
      </c>
    </row>
    <row r="27" spans="1:18" x14ac:dyDescent="0.45">
      <c r="L27" s="27" t="s">
        <v>26</v>
      </c>
      <c r="M27" t="s">
        <v>29</v>
      </c>
      <c r="N27" t="s">
        <v>30</v>
      </c>
    </row>
    <row r="28" spans="1:18" x14ac:dyDescent="0.45">
      <c r="L28" s="28" t="s">
        <v>15</v>
      </c>
      <c r="M28" s="5">
        <v>574395.35384141665</v>
      </c>
      <c r="N28">
        <v>1.9016519982223796</v>
      </c>
      <c r="P28" s="28" t="s">
        <v>15</v>
      </c>
      <c r="Q28" s="5">
        <v>574395.35384141665</v>
      </c>
      <c r="R28">
        <v>1.9016519982223796</v>
      </c>
    </row>
    <row r="29" spans="1:18" x14ac:dyDescent="0.45">
      <c r="L29" s="28" t="s">
        <v>16</v>
      </c>
      <c r="M29" s="5">
        <v>566677.97317126812</v>
      </c>
      <c r="N29">
        <v>1.8273402621143422</v>
      </c>
      <c r="P29" s="28" t="s">
        <v>16</v>
      </c>
      <c r="Q29" s="5">
        <v>566677.97317126812</v>
      </c>
      <c r="R29">
        <v>1.8273402621143422</v>
      </c>
    </row>
    <row r="30" spans="1:18" x14ac:dyDescent="0.45">
      <c r="L30" s="28" t="s">
        <v>17</v>
      </c>
      <c r="M30" s="5">
        <v>548130.62556417962</v>
      </c>
      <c r="N30">
        <v>1.7892186975788873</v>
      </c>
      <c r="P30" s="28" t="s">
        <v>17</v>
      </c>
      <c r="Q30" s="5">
        <v>548130.62556417962</v>
      </c>
      <c r="R30">
        <v>1.7892186975788873</v>
      </c>
    </row>
    <row r="31" spans="1:18" x14ac:dyDescent="0.45">
      <c r="L31" s="28" t="s">
        <v>18</v>
      </c>
      <c r="M31" s="5">
        <v>565615.07325951231</v>
      </c>
      <c r="N31">
        <v>1.8300411902193976</v>
      </c>
      <c r="P31" s="28" t="s">
        <v>18</v>
      </c>
      <c r="Q31" s="5">
        <v>565615.07325951231</v>
      </c>
      <c r="R31">
        <v>1.8300411902193976</v>
      </c>
    </row>
    <row r="32" spans="1:18" x14ac:dyDescent="0.45">
      <c r="L32" s="28" t="s">
        <v>19</v>
      </c>
      <c r="M32" s="5">
        <v>545569.06079896237</v>
      </c>
      <c r="N32">
        <v>1.7819451497786634</v>
      </c>
      <c r="P32" s="28" t="s">
        <v>19</v>
      </c>
      <c r="Q32" s="5">
        <v>545569.06079896237</v>
      </c>
      <c r="R32">
        <v>1.7819451497786634</v>
      </c>
    </row>
    <row r="33" spans="1:18" x14ac:dyDescent="0.45">
      <c r="L33" s="28" t="s">
        <v>20</v>
      </c>
      <c r="M33" s="5">
        <v>558934.88349414244</v>
      </c>
      <c r="N33">
        <v>1.8381153875496867</v>
      </c>
      <c r="P33" s="28" t="s">
        <v>20</v>
      </c>
      <c r="Q33" s="5">
        <v>558934.88349414244</v>
      </c>
      <c r="R33">
        <v>1.8381153875496867</v>
      </c>
    </row>
    <row r="34" spans="1:18" x14ac:dyDescent="0.45">
      <c r="L34" s="28" t="s">
        <v>21</v>
      </c>
      <c r="M34" s="5">
        <v>569180.82893708698</v>
      </c>
      <c r="N34">
        <v>1.8347122251308678</v>
      </c>
      <c r="P34" s="28" t="s">
        <v>21</v>
      </c>
      <c r="Q34" s="5">
        <v>569180.82893708698</v>
      </c>
      <c r="R34">
        <v>1.8347122251308678</v>
      </c>
    </row>
    <row r="35" spans="1:18" x14ac:dyDescent="0.45">
      <c r="L35" s="28" t="s">
        <v>27</v>
      </c>
      <c r="M35" s="5">
        <v>561174.24838506931</v>
      </c>
      <c r="N35">
        <v>1.8287758193720354</v>
      </c>
    </row>
    <row r="37" spans="1:18" x14ac:dyDescent="0.45">
      <c r="A37" s="27" t="s">
        <v>26</v>
      </c>
      <c r="B37" t="s">
        <v>28</v>
      </c>
    </row>
    <row r="38" spans="1:18" x14ac:dyDescent="0.45">
      <c r="A38" s="28">
        <v>1</v>
      </c>
      <c r="B38" s="5">
        <v>469221835</v>
      </c>
    </row>
    <row r="39" spans="1:18" x14ac:dyDescent="0.45">
      <c r="A39" s="28">
        <v>2</v>
      </c>
      <c r="B39" s="5">
        <v>594041107.5</v>
      </c>
    </row>
    <row r="40" spans="1:18" x14ac:dyDescent="0.45">
      <c r="A40" s="28">
        <v>3</v>
      </c>
      <c r="B40" s="5">
        <v>571003131.5</v>
      </c>
    </row>
    <row r="41" spans="1:18" x14ac:dyDescent="0.45">
      <c r="A41" s="28">
        <v>4</v>
      </c>
      <c r="B41" s="5">
        <v>600594562.5</v>
      </c>
    </row>
    <row r="42" spans="1:18" x14ac:dyDescent="0.45">
      <c r="A42" s="28">
        <v>5</v>
      </c>
      <c r="B42" s="5">
        <v>292957759</v>
      </c>
    </row>
    <row r="43" spans="1:18" x14ac:dyDescent="0.45">
      <c r="A43" s="28">
        <v>6</v>
      </c>
      <c r="B43" s="5">
        <v>179739719.5</v>
      </c>
    </row>
    <row r="44" spans="1:18" x14ac:dyDescent="0.45">
      <c r="A44" s="28">
        <v>7</v>
      </c>
      <c r="B44" s="5">
        <v>76313676</v>
      </c>
    </row>
    <row r="45" spans="1:18" x14ac:dyDescent="0.45">
      <c r="A45" s="28">
        <v>8</v>
      </c>
      <c r="B45" s="5">
        <v>204446785.5</v>
      </c>
    </row>
    <row r="46" spans="1:18" x14ac:dyDescent="0.45">
      <c r="A46" s="28">
        <v>9</v>
      </c>
      <c r="B46" s="5">
        <v>226597537.5</v>
      </c>
    </row>
    <row r="47" spans="1:18" x14ac:dyDescent="0.45">
      <c r="A47" s="28">
        <v>10</v>
      </c>
      <c r="B47" s="5">
        <v>264966056.99970001</v>
      </c>
    </row>
    <row r="48" spans="1:18" x14ac:dyDescent="0.45">
      <c r="A48" s="28">
        <v>11</v>
      </c>
      <c r="B48" s="5">
        <v>280197702.00010002</v>
      </c>
    </row>
    <row r="49" spans="1:2" x14ac:dyDescent="0.45">
      <c r="A49" s="28">
        <v>12</v>
      </c>
      <c r="B49" s="5">
        <v>216598434</v>
      </c>
    </row>
    <row r="50" spans="1:2" x14ac:dyDescent="0.45">
      <c r="A50" s="28">
        <v>13</v>
      </c>
      <c r="B50" s="5">
        <v>236325369.9998</v>
      </c>
    </row>
    <row r="51" spans="1:2" x14ac:dyDescent="0.45">
      <c r="A51" s="28">
        <v>14</v>
      </c>
      <c r="B51" s="5">
        <v>227506372</v>
      </c>
    </row>
    <row r="52" spans="1:2" x14ac:dyDescent="0.45">
      <c r="A52" s="28">
        <v>15</v>
      </c>
      <c r="B52" s="5">
        <v>258014290</v>
      </c>
    </row>
    <row r="53" spans="1:2" x14ac:dyDescent="0.45">
      <c r="A53" s="28">
        <v>16</v>
      </c>
      <c r="B53" s="5">
        <v>318821398.5</v>
      </c>
    </row>
    <row r="54" spans="1:2" x14ac:dyDescent="0.45">
      <c r="A54" s="28">
        <v>17</v>
      </c>
      <c r="B54" s="5">
        <v>199427997</v>
      </c>
    </row>
    <row r="55" spans="1:2" x14ac:dyDescent="0.45">
      <c r="A55" s="28">
        <v>18</v>
      </c>
      <c r="B55" s="5">
        <v>197758399</v>
      </c>
    </row>
    <row r="56" spans="1:2" x14ac:dyDescent="0.45">
      <c r="A56" s="28">
        <v>19</v>
      </c>
      <c r="B56" s="5">
        <v>221487984</v>
      </c>
    </row>
    <row r="57" spans="1:2" x14ac:dyDescent="0.45">
      <c r="A57" s="28">
        <v>20</v>
      </c>
      <c r="B57" s="5">
        <v>289661174</v>
      </c>
    </row>
    <row r="58" spans="1:2" x14ac:dyDescent="0.45">
      <c r="A58" s="28">
        <v>21</v>
      </c>
      <c r="B58" s="5">
        <v>278741306.5</v>
      </c>
    </row>
    <row r="59" spans="1:2" x14ac:dyDescent="0.45">
      <c r="A59" s="28" t="s">
        <v>27</v>
      </c>
      <c r="B59" s="5">
        <v>6204422597.9996004</v>
      </c>
    </row>
  </sheetData>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7D8E9-7F34-47B7-9753-836B48CB626E}">
  <dimension ref="A1:XFC55"/>
  <sheetViews>
    <sheetView tabSelected="1" zoomScale="69" zoomScaleNormal="106" workbookViewId="0">
      <selection activeCell="H54" sqref="H54"/>
    </sheetView>
  </sheetViews>
  <sheetFormatPr defaultColWidth="0" defaultRowHeight="0" customHeight="1" zeroHeight="1" x14ac:dyDescent="0.45"/>
  <cols>
    <col min="1" max="1" width="6.33203125" style="12" customWidth="1"/>
    <col min="2" max="2" width="22" style="12" customWidth="1"/>
    <col min="3" max="3" width="2.1328125" style="12" customWidth="1"/>
    <col min="4" max="7" width="15.3984375" style="12" customWidth="1"/>
    <col min="8" max="8" width="1.9296875" style="12" customWidth="1"/>
    <col min="9" max="9" width="15.3984375" style="12" customWidth="1"/>
    <col min="10" max="10" width="16.73046875" style="12" customWidth="1"/>
    <col min="11" max="14" width="15.3984375" style="12" customWidth="1"/>
    <col min="15" max="27" width="0" style="7" hidden="1"/>
    <col min="28" max="16383" width="10.53125" style="12" hidden="1"/>
    <col min="16384" max="16384" width="0.6640625" style="12" customWidth="1"/>
  </cols>
  <sheetData>
    <row r="1" spans="1:14" ht="38" customHeight="1" x14ac:dyDescent="0.45">
      <c r="A1" s="7"/>
      <c r="B1" s="7"/>
      <c r="C1" s="7"/>
      <c r="D1" s="7"/>
      <c r="E1" s="7"/>
      <c r="F1" s="7"/>
      <c r="G1" s="7"/>
      <c r="H1" s="7"/>
      <c r="I1" s="7"/>
      <c r="J1" s="7"/>
      <c r="K1" s="7"/>
      <c r="L1" s="7"/>
      <c r="M1" s="7"/>
      <c r="N1" s="7"/>
    </row>
    <row r="2" spans="1:14" ht="15.4" x14ac:dyDescent="0.45">
      <c r="A2" s="7"/>
      <c r="B2" s="6"/>
      <c r="C2" s="7"/>
      <c r="D2" s="7"/>
      <c r="E2" s="7"/>
      <c r="F2" s="7"/>
      <c r="G2" s="7"/>
      <c r="H2" s="7"/>
      <c r="I2" s="7"/>
      <c r="J2" s="7"/>
      <c r="K2" s="7"/>
      <c r="L2" s="7"/>
      <c r="M2" s="7"/>
      <c r="N2" s="7"/>
    </row>
    <row r="3" spans="1:14" ht="15.4" x14ac:dyDescent="0.45">
      <c r="A3" s="7"/>
      <c r="B3" s="6"/>
      <c r="C3" s="7"/>
      <c r="D3" s="7"/>
      <c r="E3" s="7"/>
      <c r="F3" s="7"/>
      <c r="G3" s="7"/>
      <c r="H3" s="7"/>
      <c r="I3" s="7"/>
      <c r="J3" s="7"/>
      <c r="K3" s="7"/>
      <c r="L3" s="7"/>
      <c r="M3" s="7"/>
      <c r="N3" s="7"/>
    </row>
    <row r="4" spans="1:14" ht="15.4" x14ac:dyDescent="0.45">
      <c r="A4" s="7"/>
      <c r="B4" s="6"/>
      <c r="C4" s="7"/>
      <c r="D4" s="7"/>
      <c r="E4" s="7"/>
      <c r="F4" s="7"/>
      <c r="G4" s="7"/>
      <c r="H4" s="7"/>
      <c r="I4" s="7"/>
      <c r="J4" s="7"/>
      <c r="K4" s="7"/>
      <c r="L4" s="7"/>
      <c r="M4" s="7"/>
      <c r="N4" s="7"/>
    </row>
    <row r="5" spans="1:14" ht="15.4" x14ac:dyDescent="0.45">
      <c r="A5" s="7"/>
      <c r="B5" s="6"/>
      <c r="C5" s="7"/>
      <c r="D5" s="7"/>
      <c r="E5" s="7"/>
      <c r="F5" s="7"/>
      <c r="G5" s="7"/>
      <c r="H5" s="7"/>
      <c r="I5" s="7"/>
      <c r="J5" s="7"/>
      <c r="K5" s="7"/>
      <c r="L5" s="7"/>
      <c r="M5" s="7"/>
      <c r="N5" s="7"/>
    </row>
    <row r="6" spans="1:14" ht="15.4" x14ac:dyDescent="0.45">
      <c r="A6" s="7"/>
      <c r="B6" s="6"/>
      <c r="C6" s="7"/>
      <c r="D6" s="7"/>
      <c r="E6" s="7"/>
      <c r="F6" s="7"/>
      <c r="G6" s="7"/>
      <c r="H6" s="7"/>
      <c r="I6" s="7"/>
      <c r="J6" s="7"/>
      <c r="K6" s="7"/>
      <c r="L6" s="7"/>
      <c r="M6" s="7"/>
      <c r="N6" s="7"/>
    </row>
    <row r="7" spans="1:14" ht="15.4" x14ac:dyDescent="0.45">
      <c r="A7" s="7"/>
      <c r="B7" s="6"/>
      <c r="C7" s="7"/>
      <c r="D7" s="7"/>
      <c r="E7" s="7"/>
      <c r="F7" s="7"/>
      <c r="G7" s="7"/>
      <c r="H7" s="7"/>
      <c r="I7" s="7"/>
      <c r="J7" s="7"/>
      <c r="K7" s="7"/>
      <c r="L7" s="7"/>
      <c r="M7" s="7"/>
      <c r="N7" s="7"/>
    </row>
    <row r="8" spans="1:14" ht="15.4" x14ac:dyDescent="0.45">
      <c r="A8" s="7"/>
      <c r="B8" s="6"/>
      <c r="C8" s="7"/>
      <c r="D8" s="7"/>
      <c r="E8" s="7"/>
      <c r="F8" s="7"/>
      <c r="G8" s="7"/>
      <c r="H8" s="7"/>
      <c r="I8" s="7"/>
      <c r="J8" s="7"/>
      <c r="K8" s="7"/>
      <c r="L8" s="7"/>
      <c r="M8" s="7"/>
      <c r="N8" s="7"/>
    </row>
    <row r="9" spans="1:14" ht="15.4" x14ac:dyDescent="0.45">
      <c r="A9" s="7"/>
      <c r="B9" s="6"/>
      <c r="C9" s="7"/>
      <c r="D9" s="7"/>
      <c r="E9" s="7"/>
      <c r="F9" s="7"/>
      <c r="G9" s="7"/>
      <c r="H9" s="7"/>
      <c r="I9" s="7"/>
      <c r="J9" s="7"/>
      <c r="K9" s="7"/>
      <c r="L9" s="7"/>
      <c r="M9" s="7"/>
      <c r="N9" s="7"/>
    </row>
    <row r="10" spans="1:14" ht="25.05" customHeight="1" x14ac:dyDescent="0.45">
      <c r="A10" s="7"/>
      <c r="B10" s="8"/>
      <c r="C10" s="7"/>
      <c r="D10" s="7"/>
      <c r="E10" s="7"/>
      <c r="F10" s="7"/>
      <c r="G10" s="7"/>
      <c r="H10" s="7"/>
      <c r="I10" s="7"/>
      <c r="J10" s="7"/>
      <c r="K10" s="7"/>
      <c r="L10" s="7"/>
      <c r="M10" s="7"/>
      <c r="N10" s="7"/>
    </row>
    <row r="11" spans="1:14" ht="12" customHeight="1" x14ac:dyDescent="0.45">
      <c r="A11" s="7"/>
      <c r="B11" s="9"/>
      <c r="C11" s="7"/>
      <c r="D11" s="7"/>
      <c r="E11" s="7"/>
      <c r="F11" s="7"/>
      <c r="G11" s="7"/>
      <c r="H11" s="7"/>
      <c r="I11" s="7"/>
      <c r="J11" s="7"/>
      <c r="K11" s="7"/>
      <c r="L11" s="7"/>
      <c r="M11" s="7"/>
      <c r="N11" s="7"/>
    </row>
    <row r="12" spans="1:14" ht="21" customHeight="1" x14ac:dyDescent="0.45">
      <c r="A12" s="7"/>
      <c r="B12" s="9"/>
      <c r="C12" s="7"/>
      <c r="D12" s="10"/>
      <c r="E12" s="11"/>
      <c r="F12" s="11"/>
      <c r="G12" s="11"/>
      <c r="H12" s="11"/>
      <c r="I12" s="11"/>
      <c r="J12" s="11"/>
      <c r="K12" s="10"/>
      <c r="L12" s="11"/>
      <c r="M12" s="11"/>
      <c r="N12" s="11"/>
    </row>
    <row r="13" spans="1:14" ht="15.4" x14ac:dyDescent="0.45">
      <c r="A13" s="7"/>
      <c r="B13" s="9"/>
      <c r="C13" s="7"/>
      <c r="G13" s="7"/>
      <c r="K13" s="7"/>
    </row>
    <row r="14" spans="1:14" ht="15.4" x14ac:dyDescent="0.45">
      <c r="A14" s="7"/>
      <c r="B14" s="9"/>
      <c r="C14" s="7"/>
      <c r="G14" s="7"/>
      <c r="K14" s="7"/>
    </row>
    <row r="15" spans="1:14" ht="15.4" x14ac:dyDescent="0.45">
      <c r="A15" s="7"/>
      <c r="B15" s="9"/>
      <c r="C15" s="7"/>
      <c r="G15" s="7"/>
      <c r="K15" s="7"/>
    </row>
    <row r="16" spans="1:14" ht="15.4" x14ac:dyDescent="0.45">
      <c r="A16" s="7"/>
      <c r="B16" s="9"/>
      <c r="C16" s="7"/>
      <c r="G16" s="7"/>
      <c r="K16" s="7"/>
    </row>
    <row r="17" spans="1:14" ht="15.4" x14ac:dyDescent="0.45">
      <c r="A17" s="7"/>
      <c r="B17" s="9"/>
      <c r="C17" s="7"/>
      <c r="G17" s="7"/>
      <c r="K17" s="7"/>
    </row>
    <row r="18" spans="1:14" ht="15.4" x14ac:dyDescent="0.45">
      <c r="A18" s="7"/>
      <c r="B18" s="9"/>
      <c r="C18" s="7"/>
      <c r="G18" s="7"/>
      <c r="K18" s="7"/>
    </row>
    <row r="19" spans="1:14" ht="15.4" x14ac:dyDescent="0.45">
      <c r="A19" s="7"/>
      <c r="B19" s="9"/>
      <c r="C19" s="7"/>
      <c r="G19" s="7"/>
      <c r="K19" s="7"/>
    </row>
    <row r="20" spans="1:14" ht="17.25" x14ac:dyDescent="0.45">
      <c r="A20" s="7"/>
      <c r="B20" s="13"/>
      <c r="C20" s="7"/>
      <c r="D20" s="14"/>
      <c r="E20" s="14"/>
      <c r="F20" s="14"/>
      <c r="G20" s="7"/>
      <c r="H20" s="14"/>
      <c r="I20" s="14"/>
      <c r="J20" s="14"/>
      <c r="K20" s="7"/>
      <c r="L20" s="14"/>
      <c r="M20" s="14"/>
      <c r="N20" s="14"/>
    </row>
    <row r="21" spans="1:14" ht="13.05" customHeight="1" x14ac:dyDescent="0.45">
      <c r="A21" s="7"/>
      <c r="B21" s="13"/>
      <c r="C21" s="7"/>
      <c r="D21" s="14"/>
      <c r="E21" s="14"/>
      <c r="F21" s="14"/>
      <c r="G21" s="7"/>
      <c r="H21" s="14"/>
      <c r="I21" s="14"/>
      <c r="J21" s="14"/>
      <c r="K21" s="7"/>
      <c r="L21" s="14"/>
      <c r="M21" s="14"/>
      <c r="N21" s="14"/>
    </row>
    <row r="22" spans="1:14" ht="21" customHeight="1" x14ac:dyDescent="0.45">
      <c r="A22" s="7"/>
      <c r="B22" s="9"/>
      <c r="C22" s="7"/>
      <c r="D22" s="14"/>
      <c r="E22" s="14"/>
      <c r="F22" s="14"/>
      <c r="G22" s="7"/>
      <c r="H22" s="14"/>
      <c r="I22" s="14"/>
      <c r="J22" s="14"/>
      <c r="K22" s="7"/>
      <c r="L22" s="14"/>
      <c r="M22" s="14"/>
      <c r="N22" s="14"/>
    </row>
    <row r="23" spans="1:14" ht="15.4" x14ac:dyDescent="0.45">
      <c r="A23" s="7"/>
      <c r="B23" s="15"/>
      <c r="C23" s="7"/>
      <c r="D23" s="14"/>
      <c r="E23" s="14"/>
      <c r="F23" s="14"/>
      <c r="G23" s="7"/>
      <c r="H23" s="14"/>
      <c r="I23" s="14"/>
      <c r="J23" s="14"/>
      <c r="K23" s="7"/>
      <c r="L23" s="14"/>
      <c r="M23" s="14"/>
      <c r="N23" s="14"/>
    </row>
    <row r="24" spans="1:14" ht="15.4" x14ac:dyDescent="0.45">
      <c r="A24" s="7"/>
      <c r="B24" s="9"/>
      <c r="C24" s="7"/>
      <c r="D24" s="7"/>
      <c r="E24" s="7"/>
      <c r="F24" s="7"/>
      <c r="G24" s="7"/>
      <c r="H24" s="7"/>
      <c r="I24" s="7"/>
      <c r="J24" s="7"/>
      <c r="K24" s="7"/>
      <c r="L24" s="7"/>
      <c r="M24" s="7"/>
      <c r="N24" s="7"/>
    </row>
    <row r="25" spans="1:14" ht="17.25" x14ac:dyDescent="0.45">
      <c r="A25" s="7"/>
      <c r="B25" s="9"/>
      <c r="C25" s="7"/>
      <c r="D25" s="10"/>
      <c r="E25" s="11"/>
      <c r="F25" s="11"/>
      <c r="G25" s="11"/>
      <c r="H25" s="16"/>
      <c r="I25" s="10"/>
      <c r="J25" s="7"/>
      <c r="K25" s="10"/>
      <c r="L25" s="11"/>
      <c r="M25" s="11"/>
      <c r="N25" s="11"/>
    </row>
    <row r="26" spans="1:14" ht="15.4" x14ac:dyDescent="0.45">
      <c r="A26" s="7"/>
      <c r="B26" s="9"/>
      <c r="C26" s="7"/>
      <c r="D26" s="17"/>
      <c r="E26" s="17"/>
      <c r="F26" s="17"/>
      <c r="G26" s="17"/>
      <c r="I26" s="17"/>
      <c r="J26" s="7"/>
      <c r="K26" s="17"/>
      <c r="L26" s="17"/>
      <c r="M26" s="17"/>
      <c r="N26" s="17"/>
    </row>
    <row r="27" spans="1:14" ht="15.4" x14ac:dyDescent="0.45">
      <c r="A27" s="7"/>
      <c r="B27" s="9"/>
      <c r="C27" s="7"/>
      <c r="D27" s="18"/>
      <c r="E27" s="18"/>
      <c r="F27" s="18"/>
      <c r="G27" s="19"/>
      <c r="J27" s="7"/>
      <c r="K27" s="18"/>
      <c r="L27" s="18"/>
      <c r="M27" s="18"/>
      <c r="N27" s="19"/>
    </row>
    <row r="28" spans="1:14" ht="15.4" x14ac:dyDescent="0.45">
      <c r="A28" s="7"/>
      <c r="B28" s="9"/>
      <c r="C28" s="7"/>
      <c r="D28" s="18"/>
      <c r="E28" s="18"/>
      <c r="F28" s="18"/>
      <c r="G28" s="19"/>
      <c r="J28" s="7"/>
      <c r="K28" s="18"/>
      <c r="L28" s="18"/>
      <c r="M28" s="18"/>
      <c r="N28" s="19"/>
    </row>
    <row r="29" spans="1:14" ht="15.4" x14ac:dyDescent="0.45">
      <c r="A29" s="7"/>
      <c r="B29" s="20"/>
      <c r="C29" s="7"/>
      <c r="D29" s="18"/>
      <c r="E29" s="18"/>
      <c r="F29" s="18"/>
      <c r="G29" s="19"/>
      <c r="J29" s="7"/>
      <c r="K29" s="18"/>
      <c r="L29" s="18"/>
      <c r="M29" s="18"/>
      <c r="N29" s="19"/>
    </row>
    <row r="30" spans="1:14" ht="15.4" x14ac:dyDescent="0.45">
      <c r="A30" s="7"/>
      <c r="B30" s="21"/>
      <c r="C30" s="7"/>
      <c r="D30" s="18"/>
      <c r="E30" s="18"/>
      <c r="F30" s="18"/>
      <c r="G30" s="19"/>
      <c r="J30" s="7"/>
      <c r="K30" s="18"/>
      <c r="L30" s="18"/>
      <c r="M30" s="18"/>
      <c r="N30" s="19"/>
    </row>
    <row r="31" spans="1:14" ht="15.4" x14ac:dyDescent="0.45">
      <c r="A31" s="7"/>
      <c r="B31" s="20"/>
      <c r="C31" s="7"/>
      <c r="D31" s="18"/>
      <c r="E31" s="18"/>
      <c r="F31" s="18"/>
      <c r="G31" s="19"/>
      <c r="J31" s="7"/>
      <c r="K31" s="18"/>
      <c r="L31" s="18"/>
      <c r="M31" s="18"/>
      <c r="N31" s="19"/>
    </row>
    <row r="32" spans="1:14" ht="15.4" x14ac:dyDescent="0.4">
      <c r="A32" s="7"/>
      <c r="B32" s="22"/>
      <c r="C32" s="7"/>
      <c r="D32" s="18"/>
      <c r="E32" s="18"/>
      <c r="F32" s="18"/>
      <c r="G32" s="19"/>
      <c r="J32" s="7"/>
      <c r="K32" s="18"/>
      <c r="L32" s="18"/>
      <c r="M32" s="18"/>
      <c r="N32" s="19"/>
    </row>
    <row r="33" spans="1:14" ht="15.75" thickBot="1" x14ac:dyDescent="0.5">
      <c r="A33" s="7"/>
      <c r="B33" s="23"/>
      <c r="C33" s="7"/>
      <c r="D33" s="24"/>
      <c r="E33" s="25"/>
      <c r="F33" s="25"/>
      <c r="G33" s="26"/>
      <c r="I33" s="24"/>
      <c r="J33" s="7"/>
      <c r="K33" s="24"/>
      <c r="L33" s="25"/>
      <c r="M33" s="25"/>
      <c r="N33" s="26"/>
    </row>
    <row r="34" spans="1:14" ht="29" customHeight="1" thickTop="1" x14ac:dyDescent="0.45">
      <c r="A34" s="7"/>
      <c r="B34" s="7"/>
      <c r="C34" s="7"/>
      <c r="D34" s="7"/>
      <c r="E34" s="7"/>
      <c r="F34" s="7"/>
      <c r="G34" s="7"/>
      <c r="H34" s="7"/>
      <c r="I34" s="7"/>
      <c r="J34" s="7"/>
      <c r="K34" s="7"/>
      <c r="L34" s="7"/>
      <c r="M34" s="7"/>
      <c r="N34" s="7"/>
    </row>
    <row r="35" spans="1:14" s="7" customFormat="1" ht="15.4" hidden="1" x14ac:dyDescent="0.45"/>
    <row r="36" spans="1:14" s="7" customFormat="1" ht="15.4" hidden="1" x14ac:dyDescent="0.45"/>
    <row r="37" spans="1:14" s="7" customFormat="1" ht="15.4" hidden="1" x14ac:dyDescent="0.45"/>
    <row r="38" spans="1:14" s="7" customFormat="1" ht="15.4" hidden="1" x14ac:dyDescent="0.45"/>
    <row r="39" spans="1:14" s="7" customFormat="1" ht="15.4" hidden="1" x14ac:dyDescent="0.45"/>
    <row r="40" spans="1:14" s="7" customFormat="1" ht="15.4" hidden="1" x14ac:dyDescent="0.45"/>
    <row r="41" spans="1:14" s="7" customFormat="1" ht="15.4" hidden="1" x14ac:dyDescent="0.45"/>
    <row r="42" spans="1:14" s="7" customFormat="1" ht="15.4" hidden="1" x14ac:dyDescent="0.45"/>
    <row r="43" spans="1:14" s="7" customFormat="1" ht="15.4" hidden="1" x14ac:dyDescent="0.45"/>
    <row r="44" spans="1:14" s="7" customFormat="1" ht="15.4" hidden="1" x14ac:dyDescent="0.45"/>
    <row r="45" spans="1:14" s="7" customFormat="1" ht="15.4" hidden="1" x14ac:dyDescent="0.45"/>
    <row r="46" spans="1:14" s="7" customFormat="1" ht="15.4" hidden="1" x14ac:dyDescent="0.45"/>
    <row r="47" spans="1:14" s="7" customFormat="1" ht="15.4" hidden="1" x14ac:dyDescent="0.45"/>
    <row r="48" spans="1:14" s="7" customFormat="1" ht="15.4" hidden="1" x14ac:dyDescent="0.45"/>
    <row r="49" s="7" customFormat="1" ht="15.4" hidden="1" x14ac:dyDescent="0.45"/>
    <row r="50" s="7" customFormat="1" ht="15.4" hidden="1" x14ac:dyDescent="0.45"/>
    <row r="51" s="7" customFormat="1" ht="15.4" hidden="1" x14ac:dyDescent="0.45"/>
    <row r="52" s="7" customFormat="1" ht="15.4" hidden="1" x14ac:dyDescent="0.45"/>
    <row r="53" s="7" customFormat="1" ht="15.4" hidden="1" x14ac:dyDescent="0.45"/>
    <row r="54" ht="15.4" x14ac:dyDescent="0.45"/>
    <row r="55" ht="15.4" x14ac:dyDescent="0.45"/>
  </sheetData>
  <conditionalFormatting sqref="G27:G32">
    <cfRule type="dataBar" priority="3">
      <dataBar>
        <cfvo type="min"/>
        <cfvo type="max"/>
        <color rgb="FF0096D7"/>
      </dataBar>
      <extLst>
        <ext xmlns:x14="http://schemas.microsoft.com/office/spreadsheetml/2009/9/main" uri="{B025F937-C7B1-47D3-B67F-A62EFF666E3E}">
          <x14:id>{032B55AC-9A17-47D6-BA86-F580E2939FD2}</x14:id>
        </ext>
      </extLst>
    </cfRule>
  </conditionalFormatting>
  <conditionalFormatting sqref="N27:N32">
    <cfRule type="dataBar" priority="1">
      <dataBar>
        <cfvo type="min"/>
        <cfvo type="max"/>
        <color rgb="FF0096D7"/>
      </dataBar>
      <extLst>
        <ext xmlns:x14="http://schemas.microsoft.com/office/spreadsheetml/2009/9/main" uri="{B025F937-C7B1-47D3-B67F-A62EFF666E3E}">
          <x14:id>{02C89B63-62A4-4E6B-B9E0-214C4A01635A}</x14:id>
        </ext>
      </extLst>
    </cfRule>
  </conditionalFormatting>
  <pageMargins left="0.7" right="0.7" top="0.75" bottom="0.75" header="0.3" footer="0.3"/>
  <pageSetup paperSize="11" orientation="landscape" r:id="rId1"/>
  <drawing r:id="rId2"/>
  <extLst>
    <ext xmlns:x14="http://schemas.microsoft.com/office/spreadsheetml/2009/9/main" uri="{78C0D931-6437-407d-A8EE-F0AAD7539E65}">
      <x14:conditionalFormattings>
        <x14:conditionalFormatting xmlns:xm="http://schemas.microsoft.com/office/excel/2006/main">
          <x14:cfRule type="dataBar" id="{032B55AC-9A17-47D6-BA86-F580E2939FD2}">
            <x14:dataBar minLength="0" maxLength="100">
              <x14:cfvo type="autoMin"/>
              <x14:cfvo type="autoMax"/>
              <x14:negativeFillColor rgb="FFDF002C"/>
              <x14:axisColor rgb="FF000000"/>
            </x14:dataBar>
          </x14:cfRule>
          <xm:sqref>G27:G32</xm:sqref>
        </x14:conditionalFormatting>
        <x14:conditionalFormatting xmlns:xm="http://schemas.microsoft.com/office/excel/2006/main">
          <x14:cfRule type="dataBar" id="{02C89B63-62A4-4E6B-B9E0-214C4A01635A}">
            <x14:dataBar minLength="0" maxLength="100">
              <x14:cfvo type="autoMin"/>
              <x14:cfvo type="autoMax"/>
              <x14:negativeFillColor rgb="FFDF002C"/>
              <x14:axisColor rgb="FF000000"/>
            </x14:dataBar>
          </x14:cfRule>
          <xm:sqref>N27:N32</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Thủy Tiên (31231020076)</cp:lastModifiedBy>
  <cp:lastPrinted>2026-03-11T15:09:51Z</cp:lastPrinted>
  <dcterms:created xsi:type="dcterms:W3CDTF">2026-03-11T10:05:47Z</dcterms:created>
  <dcterms:modified xsi:type="dcterms:W3CDTF">2026-03-12T02:05:05Z</dcterms:modified>
</cp:coreProperties>
</file>